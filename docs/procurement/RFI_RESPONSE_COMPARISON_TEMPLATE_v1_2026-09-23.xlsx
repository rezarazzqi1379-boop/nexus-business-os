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Furnace" sheetId="2" state="visible" r:id="rId4"/>
    <sheet name="DC Motor" sheetId="3" state="visible" r:id="rId5"/>
    <sheet name="Stand" sheetId="4" state="visible" r:id="rId6"/>
    <sheet name="Gearbox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Enter today's CNY→USD rate and its source. Left blank on purpose: no currency conversion is assumed by this template.</t>
        </r>
      </text>
    </comment>
  </commentList>
</comments>
</file>

<file path=xl/sharedStrings.xml><?xml version="1.0" encoding="utf-8"?>
<sst xmlns="http://schemas.openxmlformats.org/spreadsheetml/2006/main" count="426" uniqueCount="202">
  <si>
    <t xml:space="preserve">RFI Response Comparison — PRJ-STEEL-ROLLING-LINE-01 (template v1, 2026-09-23)</t>
  </si>
  <si>
    <t xml:space="preserve">INTERNAL ONLY. Do not send to vendors.</t>
  </si>
  <si>
    <t xml:space="preserve">How to use</t>
  </si>
  <si>
    <t xml:space="preserve">1. One sheet per item (Furnace, DC Motor, Stand, Gearbox). One column per vendor response (D:G).</t>
  </si>
  <si>
    <t xml:space="preserve">2. Type only in yellow cells with blue text. Black cells are formulas — do not overwrite them.</t>
  </si>
  <si>
    <t xml:space="preserve">3. Column C 'Our basis' comes from the v5 RFIs / ENGINEERING_PACKAGE_A. Numeric checks compare each response to it.</t>
  </si>
  <si>
    <t xml:space="preserve">4. 'Price type' must use the procurement evidence taxonomy. Only FORMAL QUOTE counts toward budget ('Counts for budget?').</t>
  </si>
  <si>
    <t xml:space="preserve">5. Enter the FX rate to USD you actually use and its date in the Summary sheet; every USD figure recalculates.</t>
  </si>
  <si>
    <t xml:space="preserve">6. 'Scope gap allowance' = your estimate (USD) of items the vendor marked OUT that we still need. Keep it explicit, never hidden.</t>
  </si>
  <si>
    <t xml:space="preserve">7. Column D on each sheet holds an EXAMPLE row set (italic) showing the expected format. Clear it before real use.</t>
  </si>
  <si>
    <t xml:space="preserve">Evidence / price-type tags</t>
  </si>
  <si>
    <t xml:space="preserve">FACT · SELLER CLAIM · TRANSACTION PRICE · AUCTION START PRICE · ADVERTISED PRICE · FORMAL QUOTE · ESTIMATE · ASSUMPTION · UNKNOWN</t>
  </si>
  <si>
    <t xml:space="preserve">Gate reminder</t>
  </si>
  <si>
    <t xml:space="preserve">No response is formal RFQ pricing until Gate B (grade, reversing/one-way, pass schedule, acceptance criteria) is closed. No order before Gate C (hold points 1–7, qualified-engineer sign-off).</t>
  </si>
  <si>
    <t xml:space="preserve">Field</t>
  </si>
  <si>
    <t xml:space="preserve">Unit</t>
  </si>
  <si>
    <t xml:space="preserve">Our basis / requirement</t>
  </si>
  <si>
    <t xml:space="preserve">Vendor A (example)</t>
  </si>
  <si>
    <t xml:space="preserve">Vendor B</t>
  </si>
  <si>
    <t xml:space="preserve">Vendor C</t>
  </si>
  <si>
    <t xml:space="preserve">Vendor D</t>
  </si>
  <si>
    <t xml:space="preserve">Identity (Gate A)</t>
  </si>
  <si>
    <t xml:space="preserve">Registered legal name (Chinese)</t>
  </si>
  <si>
    <t xml:space="preserve">must match business licence</t>
  </si>
  <si>
    <t xml:space="preserve">南京某某炉业有限公司</t>
  </si>
  <si>
    <t xml:space="preserve">Unified social credit code</t>
  </si>
  <si>
    <t xml:space="preserve">18 characters</t>
  </si>
  <si>
    <t xml:space="preserve">91320100XXXXXXXXXX</t>
  </si>
  <si>
    <t xml:space="preserve">Checked on gsxt.gov.cn by a person?</t>
  </si>
  <si>
    <t xml:space="preserve">Yes/No/Unknown</t>
  </si>
  <si>
    <t xml:space="preserve">Yes required</t>
  </si>
  <si>
    <t xml:space="preserve">No</t>
  </si>
  <si>
    <t xml:space="preserve">Manufacturer or trader?</t>
  </si>
  <si>
    <t xml:space="preserve">manufacturer preferred</t>
  </si>
  <si>
    <t xml:space="preserve">Manufacturer</t>
  </si>
  <si>
    <t xml:space="preserve">Commercial</t>
  </si>
  <si>
    <t xml:space="preserve">Price type</t>
  </si>
  <si>
    <t xml:space="preserve">tag</t>
  </si>
  <si>
    <t xml:space="preserve">FORMAL QUOTE to count</t>
  </si>
  <si>
    <t xml:space="preserve">ADVERTISED PRICE</t>
  </si>
  <si>
    <t xml:space="preserve">Price (as quoted)</t>
  </si>
  <si>
    <t xml:space="preserve">currency units</t>
  </si>
  <si>
    <t xml:space="preserve">Currency</t>
  </si>
  <si>
    <t xml:space="preserve">code</t>
  </si>
  <si>
    <t xml:space="preserve">CNY</t>
  </si>
  <si>
    <t xml:space="preserve">FX to USD (from Summary)</t>
  </si>
  <si>
    <t xml:space="preserve">USD per unit</t>
  </si>
  <si>
    <t xml:space="preserve">Price in USD</t>
  </si>
  <si>
    <t xml:space="preserve">USD</t>
  </si>
  <si>
    <t xml:space="preserve">Incoterm + named place</t>
  </si>
  <si>
    <t xml:space="preserve">CIF destination port basis for comparison</t>
  </si>
  <si>
    <t xml:space="preserve">FOB Shanghai</t>
  </si>
  <si>
    <t xml:space="preserve">Freight + insurance to reach CIF basis</t>
  </si>
  <si>
    <t xml:space="preserve">your estimate; 0 if already CIF</t>
  </si>
  <si>
    <t xml:space="preserve">Tax included?</t>
  </si>
  <si>
    <t xml:space="preserve">Yes/No</t>
  </si>
  <si>
    <t xml:space="preserve">state explicitly</t>
  </si>
  <si>
    <t xml:space="preserve">Scope gap allowance</t>
  </si>
  <si>
    <t xml:space="preserve">items marked OUT that we still need</t>
  </si>
  <si>
    <t xml:space="preserve">Normalised comparable price (CIF + gaps)</t>
  </si>
  <si>
    <t xml:space="preserve">Counts for budget?</t>
  </si>
  <si>
    <t xml:space="preserve">only FORMAL QUOTE</t>
  </si>
  <si>
    <t xml:space="preserve">Delivery time from order</t>
  </si>
  <si>
    <t xml:space="preserve">weeks</t>
  </si>
  <si>
    <t xml:space="preserve">Payment terms</t>
  </si>
  <si>
    <t xml:space="preserve">30% advance / 70% against B/L</t>
  </si>
  <si>
    <t xml:space="preserve">Validity of offer</t>
  </si>
  <si>
    <t xml:space="preserve">days</t>
  </si>
  <si>
    <t xml:space="preserve">Reference installations (customer, country, year)</t>
  </si>
  <si>
    <t xml:space="preserve">similar scope</t>
  </si>
  <si>
    <t xml:space="preserve">—</t>
  </si>
  <si>
    <t xml:space="preserve">Technical — against our basis</t>
  </si>
  <si>
    <t xml:space="preserve">Capacity for 400×125×3000 slab, cold charge</t>
  </si>
  <si>
    <t xml:space="preserve">t/h</t>
  </si>
  <si>
    <t xml:space="preserve">≥ 20 (FACT basis)</t>
  </si>
  <si>
    <t xml:space="preserve">Inner width</t>
  </si>
  <si>
    <t xml:space="preserve">mm</t>
  </si>
  <si>
    <t xml:space="preserve">&gt; 3000 for crosswise charging</t>
  </si>
  <si>
    <t xml:space="preserve">Charging orientation</t>
  </si>
  <si>
    <t xml:space="preserve">crosswise expected</t>
  </si>
  <si>
    <t xml:space="preserve">crosswise</t>
  </si>
  <si>
    <t xml:space="preserve">Specific hearth loading</t>
  </si>
  <si>
    <t xml:space="preserve">kg/(m²·h)</t>
  </si>
  <si>
    <t xml:space="preserve">state basis</t>
  </si>
  <si>
    <t xml:space="preserve">Discharge temperature</t>
  </si>
  <si>
    <t xml:space="preserve">°C</t>
  </si>
  <si>
    <t xml:space="preserve">1250 target (CLAIM)</t>
  </si>
  <si>
    <t xml:space="preserve">Specific energy, cold charge</t>
  </si>
  <si>
    <t xml:space="preserve">GJ/t</t>
  </si>
  <si>
    <t xml:space="preserve">lower is better</t>
  </si>
  <si>
    <t xml:space="preserve">Scale loss guarantee</t>
  </si>
  <si>
    <t xml:space="preserve">%</t>
  </si>
  <si>
    <t xml:space="preserve">NOx guarantee</t>
  </si>
  <si>
    <t xml:space="preserve">mg/Nm³</t>
  </si>
  <si>
    <t xml:space="preserve">New or used</t>
  </si>
  <si>
    <t xml:space="preserve">both acceptable</t>
  </si>
  <si>
    <t xml:space="preserve">New</t>
  </si>
  <si>
    <t xml:space="preserve">Automatic checks (formulas)</t>
  </si>
  <si>
    <t xml:space="preserve">CHECK: Capacity for 400×125×3000 slab, cold charge &gt;= 20</t>
  </si>
  <si>
    <t xml:space="preserve">limit 20</t>
  </si>
  <si>
    <t xml:space="preserve">CHECK: Inner width &gt; 3000</t>
  </si>
  <si>
    <t xml:space="preserve">limit 3000</t>
  </si>
  <si>
    <t xml:space="preserve">Checks passed</t>
  </si>
  <si>
    <t xml:space="preserve">Rating offered</t>
  </si>
  <si>
    <t xml:space="preserve">kW</t>
  </si>
  <si>
    <t xml:space="preserve">1600 and 2000 both requested</t>
  </si>
  <si>
    <t xml:space="preserve">Base speed</t>
  </si>
  <si>
    <t xml:space="preserve">rpm</t>
  </si>
  <si>
    <t xml:space="preserve">300–400 (350 preferred)</t>
  </si>
  <si>
    <t xml:space="preserve">Maximum speed</t>
  </si>
  <si>
    <t xml:space="preserve">≈700</t>
  </si>
  <si>
    <t xml:space="preserve">Continuous-rating basis (ambient / altitude / duty)</t>
  </si>
  <si>
    <t xml:space="preserve">must be stated</t>
  </si>
  <si>
    <t xml:space="preserve">40 °C / 1000 m / S1</t>
  </si>
  <si>
    <t xml:space="preserve">Overload at base speed</t>
  </si>
  <si>
    <t xml:space="preserve">× for s</t>
  </si>
  <si>
    <t xml:space="preserve">≥1.5× for ≥30 s</t>
  </si>
  <si>
    <t xml:space="preserve">Commutation-limited overload at ≈650 rpm</t>
  </si>
  <si>
    <t xml:space="preserve">×</t>
  </si>
  <si>
    <t xml:space="preserve">curve required; basis needs ≥1.02× (2000 kW) or ≥1.28× (1600 kW) for 2.9 s</t>
  </si>
  <si>
    <t xml:space="preserve">Rated reversals per hour</t>
  </si>
  <si>
    <t xml:space="preserve">1/h</t>
  </si>
  <si>
    <t xml:space="preserve">≥170</t>
  </si>
  <si>
    <t xml:space="preserve">GD²</t>
  </si>
  <si>
    <t xml:space="preserve">kg·m²</t>
  </si>
  <si>
    <t xml:space="preserve">required (Hold Point 7)</t>
  </si>
  <si>
    <t xml:space="preserve">Motor / converter / transformer / reactor priced separately?</t>
  </si>
  <si>
    <t xml:space="preserve">Yes</t>
  </si>
  <si>
    <t xml:space="preserve">CHECK: Overload at base speed &gt;= 1.5</t>
  </si>
  <si>
    <t xml:space="preserve">limit 1.5</t>
  </si>
  <si>
    <t xml:space="preserve">CHECK: Rated reversals per hour &gt;= 170</t>
  </si>
  <si>
    <t xml:space="preserve">limit 170</t>
  </si>
  <si>
    <t xml:space="preserve">Roughing or finishing design</t>
  </si>
  <si>
    <t xml:space="preserve">roughing</t>
  </si>
  <si>
    <t xml:space="preserve">Rated rolling force</t>
  </si>
  <si>
    <t xml:space="preserve">MN</t>
  </si>
  <si>
    <t xml:space="preserve">≥ 6</t>
  </si>
  <si>
    <t xml:space="preserve">Work roll diameter</t>
  </si>
  <si>
    <t xml:space="preserve">600</t>
  </si>
  <si>
    <t xml:space="preserve">Barrel length</t>
  </si>
  <si>
    <t xml:space="preserve">Max rolling speed</t>
  </si>
  <si>
    <t xml:space="preserve">m/s</t>
  </si>
  <si>
    <t xml:space="preserve">≥ 3</t>
  </si>
  <si>
    <t xml:space="preserve">Pinion stand centre distance (if in scope)</t>
  </si>
  <si>
    <t xml:space="preserve">≈646 preliminary</t>
  </si>
  <si>
    <t xml:space="preserve">Vendor's reading of 'center 600'</t>
  </si>
  <si>
    <t xml:space="preserve">interpretation</t>
  </si>
  <si>
    <t xml:space="preserve">roll centre at new rolls</t>
  </si>
  <si>
    <t xml:space="preserve">Vendor's reading of '35 tons'</t>
  </si>
  <si>
    <t xml:space="preserve">housing weight</t>
  </si>
  <si>
    <t xml:space="preserve">Mill modulus</t>
  </si>
  <si>
    <t xml:space="preserve">kN/mm</t>
  </si>
  <si>
    <t xml:space="preserve">state</t>
  </si>
  <si>
    <t xml:space="preserve">CHECK: Rated rolling force &gt;= 6</t>
  </si>
  <si>
    <t xml:space="preserve">limit 6</t>
  </si>
  <si>
    <t xml:space="preserve">CHECK: Max rolling speed &gt;= 3</t>
  </si>
  <si>
    <t xml:space="preserve">limit 3</t>
  </si>
  <si>
    <t xml:space="preserve">Ratio option (A 25:1 / B ≈7.1 / C vendor)</t>
  </si>
  <si>
    <t xml:space="preserve">quote all three</t>
  </si>
  <si>
    <t xml:space="preserve">B</t>
  </si>
  <si>
    <t xml:space="preserve">Ratio</t>
  </si>
  <si>
    <t xml:space="preserve">i</t>
  </si>
  <si>
    <t xml:space="preserve">6.3–8.0 acceptable</t>
  </si>
  <si>
    <t xml:space="preserve">Rated output torque</t>
  </si>
  <si>
    <t xml:space="preserve">kN·m</t>
  </si>
  <si>
    <t xml:space="preserve">≥ 330 (405 preferred)</t>
  </si>
  <si>
    <t xml:space="preserve">Guaranteed peak output torque</t>
  </si>
  <si>
    <t xml:space="preserve">≥ 655</t>
  </si>
  <si>
    <t xml:space="preserve">Rated power</t>
  </si>
  <si>
    <t xml:space="preserve">≥1800 / ≥2200</t>
  </si>
  <si>
    <t xml:space="preserve">Roll surface speed at Ø600, 700 rpm input</t>
  </si>
  <si>
    <t xml:space="preserve">≈3 needed</t>
  </si>
  <si>
    <t xml:space="preserve">Stages</t>
  </si>
  <si>
    <t xml:space="preserve">1 or 2 (2 preferred)</t>
  </si>
  <si>
    <t xml:space="preserve">Rated to ISO 6336?</t>
  </si>
  <si>
    <t xml:space="preserve">CHECK: Rated output torque &gt;= 330</t>
  </si>
  <si>
    <t xml:space="preserve">limit 330</t>
  </si>
  <si>
    <t xml:space="preserve">CHECK: Guaranteed peak output torque &gt;= 655</t>
  </si>
  <si>
    <t xml:space="preserve">limit 655</t>
  </si>
  <si>
    <t xml:space="preserve">Summary — normalised comparable price (USD) and check results</t>
  </si>
  <si>
    <t xml:space="preserve">FX rates (enter the rate you use, and its date/source)</t>
  </si>
  <si>
    <t xml:space="preserve">USD per 1 unit</t>
  </si>
  <si>
    <t xml:space="preserve">Date / source</t>
  </si>
  <si>
    <t xml:space="preserve">identity</t>
  </si>
  <si>
    <t xml:space="preserve">EUR</t>
  </si>
  <si>
    <t xml:space="preserve">IRR</t>
  </si>
  <si>
    <t xml:space="preserve">RUB</t>
  </si>
  <si>
    <t xml:space="preserve">TRY</t>
  </si>
  <si>
    <t xml:space="preserve">AED</t>
  </si>
  <si>
    <t xml:space="preserve">Item</t>
  </si>
  <si>
    <t xml:space="preserve">Furnace — normalised USD</t>
  </si>
  <si>
    <t xml:space="preserve">Furnace — counts for budget?</t>
  </si>
  <si>
    <t xml:space="preserve">Furnace — checks passed</t>
  </si>
  <si>
    <t xml:space="preserve">DC Motor — normalised USD</t>
  </si>
  <si>
    <t xml:space="preserve">DC Motor — counts for budget?</t>
  </si>
  <si>
    <t xml:space="preserve">DC Motor — checks passed</t>
  </si>
  <si>
    <t xml:space="preserve">Stand — normalised USD</t>
  </si>
  <si>
    <t xml:space="preserve">Stand — counts for budget?</t>
  </si>
  <si>
    <t xml:space="preserve">Stand — checks passed</t>
  </si>
  <si>
    <t xml:space="preserve">Gearbox — normalised USD</t>
  </si>
  <si>
    <t xml:space="preserve">Gearbox — counts for budget?</t>
  </si>
  <si>
    <t xml:space="preserve">Gearbox — checks passed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</si>
</sst>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"/>
    <numFmt numFmtId="167" formatCode="\$#,##0;&quot;($&quot;#,##0\);\-"/>
    <numFmt numFmtId="168" formatCode="0.0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0000FF"/>
      <name val="Noto Sans CJK SC"/>
      <family val="2"/>
    </font>
    <font>
      <sz val="11"/>
      <color rgb="FF0000FF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7" min="4" style="0" width="24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customFormat="false" ht="15" hidden="false" customHeight="false" outlineLevel="0" collapsed="false">
      <c r="A2" s="5" t="s">
        <v>21</v>
      </c>
      <c r="B2" s="5"/>
      <c r="C2" s="5"/>
      <c r="D2" s="5"/>
      <c r="E2" s="5"/>
      <c r="F2" s="5"/>
      <c r="G2" s="5"/>
    </row>
    <row r="3" customFormat="false" ht="17.15" hidden="false" customHeight="false" outlineLevel="0" collapsed="false">
      <c r="A3" s="6" t="s">
        <v>22</v>
      </c>
      <c r="B3" s="6"/>
      <c r="C3" s="6" t="s">
        <v>23</v>
      </c>
      <c r="D3" s="7" t="s">
        <v>24</v>
      </c>
      <c r="E3" s="8"/>
      <c r="F3" s="8"/>
      <c r="G3" s="8"/>
    </row>
    <row r="4" customFormat="false" ht="15" hidden="false" customHeight="false" outlineLevel="0" collapsed="false">
      <c r="A4" s="6" t="s">
        <v>25</v>
      </c>
      <c r="B4" s="6"/>
      <c r="C4" s="6" t="s">
        <v>26</v>
      </c>
      <c r="D4" s="9" t="s">
        <v>27</v>
      </c>
      <c r="E4" s="8"/>
      <c r="F4" s="8"/>
      <c r="G4" s="8"/>
    </row>
    <row r="5" customFormat="false" ht="26.85" hidden="false" customHeight="false" outlineLevel="0" collapsed="false">
      <c r="A5" s="6" t="s">
        <v>28</v>
      </c>
      <c r="B5" s="6" t="s">
        <v>29</v>
      </c>
      <c r="C5" s="6" t="s">
        <v>30</v>
      </c>
      <c r="D5" s="9" t="s">
        <v>31</v>
      </c>
      <c r="E5" s="8"/>
      <c r="F5" s="8"/>
      <c r="G5" s="8"/>
    </row>
    <row r="6" customFormat="false" ht="15" hidden="false" customHeight="false" outlineLevel="0" collapsed="false">
      <c r="A6" s="6" t="s">
        <v>32</v>
      </c>
      <c r="B6" s="6"/>
      <c r="C6" s="6" t="s">
        <v>33</v>
      </c>
      <c r="D6" s="9" t="s">
        <v>34</v>
      </c>
      <c r="E6" s="8"/>
      <c r="F6" s="8"/>
      <c r="G6" s="8"/>
    </row>
    <row r="7" customFormat="false" ht="15" hidden="false" customHeight="false" outlineLevel="0" collapsed="false">
      <c r="A7" s="5" t="s">
        <v>35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6" t="s">
        <v>36</v>
      </c>
      <c r="B8" s="6" t="s">
        <v>37</v>
      </c>
      <c r="C8" s="6" t="s">
        <v>38</v>
      </c>
      <c r="D8" s="9" t="s">
        <v>39</v>
      </c>
      <c r="E8" s="8"/>
      <c r="F8" s="8"/>
      <c r="G8" s="8"/>
    </row>
    <row r="9" customFormat="false" ht="15" hidden="false" customHeight="false" outlineLevel="0" collapsed="false">
      <c r="A9" s="6" t="s">
        <v>40</v>
      </c>
      <c r="B9" s="6" t="s">
        <v>41</v>
      </c>
      <c r="C9" s="6"/>
      <c r="D9" s="10" t="n">
        <v>1000000</v>
      </c>
      <c r="E9" s="11"/>
      <c r="F9" s="11"/>
      <c r="G9" s="11"/>
    </row>
    <row r="10" customFormat="false" ht="15" hidden="false" customHeight="false" outlineLevel="0" collapsed="false">
      <c r="A10" s="6" t="s">
        <v>42</v>
      </c>
      <c r="B10" s="6" t="s">
        <v>43</v>
      </c>
      <c r="C10" s="6"/>
      <c r="D10" s="9" t="s">
        <v>44</v>
      </c>
      <c r="E10" s="8"/>
      <c r="F10" s="8"/>
      <c r="G10" s="8"/>
    </row>
    <row r="11" customFormat="false" ht="15" hidden="false" customHeight="false" outlineLevel="0" collapsed="false">
      <c r="A11" s="6" t="s">
        <v>45</v>
      </c>
      <c r="B11" s="6" t="s">
        <v>46</v>
      </c>
      <c r="C11" s="6"/>
      <c r="D11" s="12" t="str">
        <f aca="false">IFERROR(IF(INDEX(Summary!$C$6:$C$12,MATCH(D10,Summary!$B$6:$B$12,0))=0,"set FX",INDEX(Summary!$C$6:$C$12,MATCH(D10,Summary!$B$6:$B$12,0))),IF(D10="","","set FX"))</f>
        <v>set FX</v>
      </c>
      <c r="E11" s="12" t="str">
        <f aca="false">IFERROR(IF(INDEX(Summary!$C$6:$C$12,MATCH(E10,Summary!$B$6:$B$12,0))=0,"set FX",INDEX(Summary!$C$6:$C$12,MATCH(E10,Summary!$B$6:$B$12,0))),IF(E10="","","set FX"))</f>
        <v/>
      </c>
      <c r="F11" s="12" t="str">
        <f aca="false">IFERROR(IF(INDEX(Summary!$C$6:$C$12,MATCH(F10,Summary!$B$6:$B$12,0))=0,"set FX",INDEX(Summary!$C$6:$C$12,MATCH(F10,Summary!$B$6:$B$12,0))),IF(F10="","","set FX"))</f>
        <v/>
      </c>
      <c r="G11" s="12" t="str">
        <f aca="false">IFERROR(IF(INDEX(Summary!$C$6:$C$12,MATCH(G10,Summary!$B$6:$B$12,0))=0,"set FX",INDEX(Summary!$C$6:$C$12,MATCH(G10,Summary!$B$6:$B$12,0))),IF(G10="","","set FX"))</f>
        <v/>
      </c>
    </row>
    <row r="12" customFormat="false" ht="15" hidden="false" customHeight="false" outlineLevel="0" collapsed="false">
      <c r="A12" s="6" t="s">
        <v>47</v>
      </c>
      <c r="B12" s="6" t="s">
        <v>48</v>
      </c>
      <c r="C12" s="6"/>
      <c r="D12" s="13" t="str">
        <f aca="false">IF(OR(D9="",NOT(ISNUMBER(D11))),"",D9*D11)</f>
        <v/>
      </c>
      <c r="E12" s="13" t="str">
        <f aca="false">IF(OR(E9="",NOT(ISNUMBER(E11))),"",E9*E11)</f>
        <v/>
      </c>
      <c r="F12" s="13" t="str">
        <f aca="false">IF(OR(F9="",NOT(ISNUMBER(F11))),"",F9*F11)</f>
        <v/>
      </c>
      <c r="G12" s="13" t="str">
        <f aca="false">IF(OR(G9="",NOT(ISNUMBER(G11))),"",G9*G11)</f>
        <v/>
      </c>
    </row>
    <row r="13" customFormat="false" ht="26.85" hidden="false" customHeight="false" outlineLevel="0" collapsed="false">
      <c r="A13" s="6" t="s">
        <v>49</v>
      </c>
      <c r="B13" s="6"/>
      <c r="C13" s="6" t="s">
        <v>50</v>
      </c>
      <c r="D13" s="9" t="s">
        <v>51</v>
      </c>
      <c r="E13" s="8"/>
      <c r="F13" s="8"/>
      <c r="G13" s="8"/>
    </row>
    <row r="14" customFormat="false" ht="15" hidden="false" customHeight="false" outlineLevel="0" collapsed="false">
      <c r="A14" s="6" t="s">
        <v>52</v>
      </c>
      <c r="B14" s="6" t="s">
        <v>48</v>
      </c>
      <c r="C14" s="6" t="s">
        <v>53</v>
      </c>
      <c r="D14" s="14" t="n">
        <v>60000</v>
      </c>
      <c r="E14" s="15"/>
      <c r="F14" s="15"/>
      <c r="G14" s="15"/>
    </row>
    <row r="15" customFormat="false" ht="15" hidden="false" customHeight="false" outlineLevel="0" collapsed="false">
      <c r="A15" s="6" t="s">
        <v>54</v>
      </c>
      <c r="B15" s="6" t="s">
        <v>55</v>
      </c>
      <c r="C15" s="6" t="s">
        <v>56</v>
      </c>
      <c r="D15" s="9" t="s">
        <v>31</v>
      </c>
      <c r="E15" s="8"/>
      <c r="F15" s="8"/>
      <c r="G15" s="8"/>
    </row>
    <row r="16" customFormat="false" ht="26.85" hidden="false" customHeight="false" outlineLevel="0" collapsed="false">
      <c r="A16" s="6" t="s">
        <v>57</v>
      </c>
      <c r="B16" s="6" t="s">
        <v>48</v>
      </c>
      <c r="C16" s="6" t="s">
        <v>58</v>
      </c>
      <c r="D16" s="14" t="n">
        <v>25000</v>
      </c>
      <c r="E16" s="15"/>
      <c r="F16" s="15"/>
      <c r="G16" s="15"/>
    </row>
    <row r="17" customFormat="false" ht="15" hidden="false" customHeight="false" outlineLevel="0" collapsed="false">
      <c r="A17" s="6" t="s">
        <v>59</v>
      </c>
      <c r="B17" s="6" t="s">
        <v>48</v>
      </c>
      <c r="C17" s="6"/>
      <c r="D17" s="13" t="str">
        <f aca="false">IF(D12="","",D12+N(D14)+N(D16))</f>
        <v/>
      </c>
      <c r="E17" s="13" t="str">
        <f aca="false">IF(E12="","",E12+N(E14)+N(E16))</f>
        <v/>
      </c>
      <c r="F17" s="13" t="str">
        <f aca="false">IF(F12="","",F12+N(F14)+N(F16))</f>
        <v/>
      </c>
      <c r="G17" s="13" t="str">
        <f aca="false">IF(G12="","",G12+N(G14)+N(G16))</f>
        <v/>
      </c>
    </row>
    <row r="18" customFormat="false" ht="15" hidden="false" customHeight="false" outlineLevel="0" collapsed="false">
      <c r="A18" s="6" t="s">
        <v>60</v>
      </c>
      <c r="B18" s="6"/>
      <c r="C18" s="6" t="s">
        <v>61</v>
      </c>
      <c r="D18" s="16" t="str">
        <f aca="false">IF(D8="","",IF(D8="FORMAL QUOTE","YES","NO — not budget-grade"))</f>
        <v>NO — not budget-grade</v>
      </c>
      <c r="E18" s="16" t="str">
        <f aca="false">IF(E8="","",IF(E8="FORMAL QUOTE","YES","NO — not budget-grade"))</f>
        <v/>
      </c>
      <c r="F18" s="16" t="str">
        <f aca="false">IF(F8="","",IF(F8="FORMAL QUOTE","YES","NO — not budget-grade"))</f>
        <v/>
      </c>
      <c r="G18" s="16" t="str">
        <f aca="false">IF(G8="","",IF(G8="FORMAL QUOTE","YES","NO — not budget-grade"))</f>
        <v/>
      </c>
    </row>
    <row r="19" customFormat="false" ht="15" hidden="false" customHeight="false" outlineLevel="0" collapsed="false">
      <c r="A19" s="6" t="s">
        <v>62</v>
      </c>
      <c r="B19" s="6" t="s">
        <v>63</v>
      </c>
      <c r="C19" s="6"/>
      <c r="D19" s="7" t="n">
        <v>40</v>
      </c>
      <c r="E19" s="8"/>
      <c r="F19" s="8"/>
      <c r="G19" s="8"/>
    </row>
    <row r="20" customFormat="false" ht="26.85" hidden="false" customHeight="false" outlineLevel="0" collapsed="false">
      <c r="A20" s="6" t="s">
        <v>64</v>
      </c>
      <c r="B20" s="6"/>
      <c r="C20" s="6"/>
      <c r="D20" s="9" t="s">
        <v>65</v>
      </c>
      <c r="E20" s="8"/>
      <c r="F20" s="8"/>
      <c r="G20" s="8"/>
    </row>
    <row r="21" customFormat="false" ht="15" hidden="false" customHeight="false" outlineLevel="0" collapsed="false">
      <c r="A21" s="6" t="s">
        <v>66</v>
      </c>
      <c r="B21" s="6" t="s">
        <v>67</v>
      </c>
      <c r="C21" s="6"/>
      <c r="D21" s="7" t="n">
        <v>30</v>
      </c>
      <c r="E21" s="8"/>
      <c r="F21" s="8"/>
      <c r="G21" s="8"/>
    </row>
    <row r="22" customFormat="false" ht="15" hidden="false" customHeight="false" outlineLevel="0" collapsed="false">
      <c r="A22" s="6" t="s">
        <v>68</v>
      </c>
      <c r="B22" s="6"/>
      <c r="C22" s="6" t="s">
        <v>69</v>
      </c>
      <c r="D22" s="9" t="s">
        <v>70</v>
      </c>
      <c r="E22" s="8"/>
      <c r="F22" s="8"/>
      <c r="G22" s="8"/>
    </row>
    <row r="23" customFormat="false" ht="15" hidden="false" customHeight="false" outlineLevel="0" collapsed="false">
      <c r="A23" s="5" t="s">
        <v>71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6" t="s">
        <v>72</v>
      </c>
      <c r="B24" s="6" t="s">
        <v>73</v>
      </c>
      <c r="C24" s="6" t="s">
        <v>74</v>
      </c>
      <c r="D24" s="7" t="n">
        <v>22</v>
      </c>
      <c r="E24" s="8"/>
      <c r="F24" s="8"/>
      <c r="G24" s="8"/>
    </row>
    <row r="25" customFormat="false" ht="15" hidden="false" customHeight="false" outlineLevel="0" collapsed="false">
      <c r="A25" s="6" t="s">
        <v>75</v>
      </c>
      <c r="B25" s="6" t="s">
        <v>76</v>
      </c>
      <c r="C25" s="6" t="s">
        <v>77</v>
      </c>
      <c r="D25" s="7" t="n">
        <v>3400</v>
      </c>
      <c r="E25" s="8"/>
      <c r="F25" s="8"/>
      <c r="G25" s="8"/>
    </row>
    <row r="26" customFormat="false" ht="15" hidden="false" customHeight="false" outlineLevel="0" collapsed="false">
      <c r="A26" s="6" t="s">
        <v>78</v>
      </c>
      <c r="B26" s="6"/>
      <c r="C26" s="6" t="s">
        <v>79</v>
      </c>
      <c r="D26" s="9" t="s">
        <v>80</v>
      </c>
      <c r="E26" s="8"/>
      <c r="F26" s="8"/>
      <c r="G26" s="8"/>
    </row>
    <row r="27" customFormat="false" ht="15" hidden="false" customHeight="false" outlineLevel="0" collapsed="false">
      <c r="A27" s="6" t="s">
        <v>81</v>
      </c>
      <c r="B27" s="6" t="s">
        <v>82</v>
      </c>
      <c r="C27" s="6" t="s">
        <v>83</v>
      </c>
      <c r="D27" s="7" t="n">
        <v>400</v>
      </c>
      <c r="E27" s="8"/>
      <c r="F27" s="8"/>
      <c r="G27" s="8"/>
    </row>
    <row r="28" customFormat="false" ht="15" hidden="false" customHeight="false" outlineLevel="0" collapsed="false">
      <c r="A28" s="6" t="s">
        <v>84</v>
      </c>
      <c r="B28" s="6" t="s">
        <v>85</v>
      </c>
      <c r="C28" s="6" t="s">
        <v>86</v>
      </c>
      <c r="D28" s="7" t="n">
        <v>1250</v>
      </c>
      <c r="E28" s="8"/>
      <c r="F28" s="8"/>
      <c r="G28" s="8"/>
    </row>
    <row r="29" customFormat="false" ht="15" hidden="false" customHeight="false" outlineLevel="0" collapsed="false">
      <c r="A29" s="6" t="s">
        <v>87</v>
      </c>
      <c r="B29" s="6" t="s">
        <v>88</v>
      </c>
      <c r="C29" s="6" t="s">
        <v>89</v>
      </c>
      <c r="D29" s="7" t="n">
        <v>1.3</v>
      </c>
      <c r="E29" s="8"/>
      <c r="F29" s="8"/>
      <c r="G29" s="8"/>
    </row>
    <row r="30" customFormat="false" ht="15" hidden="false" customHeight="false" outlineLevel="0" collapsed="false">
      <c r="A30" s="6" t="s">
        <v>90</v>
      </c>
      <c r="B30" s="6" t="s">
        <v>91</v>
      </c>
      <c r="C30" s="6" t="s">
        <v>89</v>
      </c>
      <c r="D30" s="7" t="n">
        <v>1</v>
      </c>
      <c r="E30" s="8"/>
      <c r="F30" s="8"/>
      <c r="G30" s="8"/>
    </row>
    <row r="31" customFormat="false" ht="15" hidden="false" customHeight="false" outlineLevel="0" collapsed="false">
      <c r="A31" s="6" t="s">
        <v>92</v>
      </c>
      <c r="B31" s="6" t="s">
        <v>93</v>
      </c>
      <c r="C31" s="6"/>
      <c r="D31" s="7" t="n">
        <v>200</v>
      </c>
      <c r="E31" s="8"/>
      <c r="F31" s="8"/>
      <c r="G31" s="8"/>
    </row>
    <row r="32" customFormat="false" ht="15" hidden="false" customHeight="false" outlineLevel="0" collapsed="false">
      <c r="A32" s="6" t="s">
        <v>94</v>
      </c>
      <c r="B32" s="6"/>
      <c r="C32" s="6" t="s">
        <v>95</v>
      </c>
      <c r="D32" s="9" t="s">
        <v>96</v>
      </c>
      <c r="E32" s="8"/>
      <c r="F32" s="8"/>
      <c r="G32" s="8"/>
    </row>
    <row r="34" customFormat="false" ht="15" hidden="false" customHeight="false" outlineLevel="0" collapsed="false">
      <c r="A34" s="17" t="s">
        <v>97</v>
      </c>
      <c r="B34" s="17"/>
      <c r="C34" s="17"/>
      <c r="D34" s="17"/>
      <c r="E34" s="17"/>
      <c r="F34" s="17"/>
      <c r="G34" s="17"/>
    </row>
    <row r="35" customFormat="false" ht="15" hidden="false" customHeight="false" outlineLevel="0" collapsed="false">
      <c r="A35" s="18" t="s">
        <v>98</v>
      </c>
      <c r="C35" s="19" t="s">
        <v>99</v>
      </c>
      <c r="D35" s="18" t="str">
        <f aca="false">IF(D24="","",IF(ISNUMBER(D24),IF(D24&gt;=20,"PASS","FAIL"),"non-numeric"))</f>
        <v>PASS</v>
      </c>
      <c r="E35" s="18" t="str">
        <f aca="false">IF(E24="","",IF(ISNUMBER(E24),IF(E24&gt;=20,"PASS","FAIL"),"non-numeric"))</f>
        <v/>
      </c>
      <c r="F35" s="18" t="str">
        <f aca="false">IF(F24="","",IF(ISNUMBER(F24),IF(F24&gt;=20,"PASS","FAIL"),"non-numeric"))</f>
        <v/>
      </c>
      <c r="G35" s="18" t="str">
        <f aca="false">IF(G24="","",IF(ISNUMBER(G24),IF(G24&gt;=20,"PASS","FAIL"),"non-numeric"))</f>
        <v/>
      </c>
    </row>
    <row r="36" customFormat="false" ht="15" hidden="false" customHeight="false" outlineLevel="0" collapsed="false">
      <c r="A36" s="18" t="s">
        <v>100</v>
      </c>
      <c r="C36" s="19" t="s">
        <v>101</v>
      </c>
      <c r="D36" s="18" t="str">
        <f aca="false">IF(D25="","",IF(ISNUMBER(D25),IF(D25&gt;3000,"PASS","FAIL"),"non-numeric"))</f>
        <v>PASS</v>
      </c>
      <c r="E36" s="18" t="str">
        <f aca="false">IF(E25="","",IF(ISNUMBER(E25),IF(E25&gt;3000,"PASS","FAIL"),"non-numeric"))</f>
        <v/>
      </c>
      <c r="F36" s="18" t="str">
        <f aca="false">IF(F25="","",IF(ISNUMBER(F25),IF(F25&gt;3000,"PASS","FAIL"),"non-numeric"))</f>
        <v/>
      </c>
      <c r="G36" s="18" t="str">
        <f aca="false">IF(G25="","",IF(ISNUMBER(G25),IF(G25&gt;3000,"PASS","FAIL"),"non-numeric"))</f>
        <v/>
      </c>
    </row>
    <row r="37" customFormat="false" ht="15" hidden="false" customHeight="false" outlineLevel="0" collapsed="false">
      <c r="A37" s="20" t="s">
        <v>102</v>
      </c>
      <c r="D37" s="20" t="str">
        <f aca="false">COUNTIF(D35:D36,"PASS")&amp;" / "&amp;COUNTA(D35:D36)-COUNTBLANK(D35:D36)</f>
        <v>2 / 2</v>
      </c>
      <c r="E37" s="20" t="str">
        <f aca="false">COUNTIF(E35:E36,"PASS")&amp;" / "&amp;COUNTA(E35:E36)-COUNTBLANK(E35:E36)</f>
        <v>0 / 0</v>
      </c>
      <c r="F37" s="20" t="str">
        <f aca="false">COUNTIF(F35:F36,"PASS")&amp;" / "&amp;COUNTA(F35:F36)-COUNTBLANK(F35:F36)</f>
        <v>0 / 0</v>
      </c>
      <c r="G37" s="20" t="str">
        <f aca="false">COUNTIF(G35:G36,"PASS")&amp;" / "&amp;COUNTA(G35:G36)-COUNTBLANK(G35:G36)</f>
        <v>0 / 0</v>
      </c>
    </row>
  </sheetData>
  <dataValidations count="2">
    <dataValidation allowBlank="true" errorStyle="stop" operator="between" showDropDown="false" showErrorMessage="false" showInputMessage="false" sqref="D8:G8" type="list">
      <formula1>"FORMAL QUOTE,ADVERTISED PRICE,AUCTION START PRICE,TRANSACTION PRICE,SELLER CLAIM,ESTIMATE,UNKNOWN"</formula1>
      <formula2>0</formula2>
    </dataValidation>
    <dataValidation allowBlank="true" errorStyle="stop" operator="between" showDropDown="false" showErrorMessage="false" showInputMessage="false" sqref="D5:G5 D15:G15" type="list">
      <formula1>"Yes,No,Unknown"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7" min="4" style="0" width="24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customFormat="false" ht="15" hidden="false" customHeight="false" outlineLevel="0" collapsed="false">
      <c r="A2" s="5" t="s">
        <v>21</v>
      </c>
      <c r="B2" s="5"/>
      <c r="C2" s="5"/>
      <c r="D2" s="5"/>
      <c r="E2" s="5"/>
      <c r="F2" s="5"/>
      <c r="G2" s="5"/>
    </row>
    <row r="3" customFormat="false" ht="17.15" hidden="false" customHeight="false" outlineLevel="0" collapsed="false">
      <c r="A3" s="6" t="s">
        <v>22</v>
      </c>
      <c r="B3" s="6"/>
      <c r="C3" s="6" t="s">
        <v>23</v>
      </c>
      <c r="D3" s="7" t="s">
        <v>24</v>
      </c>
      <c r="E3" s="8"/>
      <c r="F3" s="8"/>
      <c r="G3" s="8"/>
    </row>
    <row r="4" customFormat="false" ht="15" hidden="false" customHeight="false" outlineLevel="0" collapsed="false">
      <c r="A4" s="6" t="s">
        <v>25</v>
      </c>
      <c r="B4" s="6"/>
      <c r="C4" s="6" t="s">
        <v>26</v>
      </c>
      <c r="D4" s="9" t="s">
        <v>27</v>
      </c>
      <c r="E4" s="8"/>
      <c r="F4" s="8"/>
      <c r="G4" s="8"/>
    </row>
    <row r="5" customFormat="false" ht="26.85" hidden="false" customHeight="false" outlineLevel="0" collapsed="false">
      <c r="A5" s="6" t="s">
        <v>28</v>
      </c>
      <c r="B5" s="6" t="s">
        <v>29</v>
      </c>
      <c r="C5" s="6" t="s">
        <v>30</v>
      </c>
      <c r="D5" s="9" t="s">
        <v>31</v>
      </c>
      <c r="E5" s="8"/>
      <c r="F5" s="8"/>
      <c r="G5" s="8"/>
    </row>
    <row r="6" customFormat="false" ht="15" hidden="false" customHeight="false" outlineLevel="0" collapsed="false">
      <c r="A6" s="6" t="s">
        <v>32</v>
      </c>
      <c r="B6" s="6"/>
      <c r="C6" s="6" t="s">
        <v>33</v>
      </c>
      <c r="D6" s="9" t="s">
        <v>34</v>
      </c>
      <c r="E6" s="8"/>
      <c r="F6" s="8"/>
      <c r="G6" s="8"/>
    </row>
    <row r="7" customFormat="false" ht="15" hidden="false" customHeight="false" outlineLevel="0" collapsed="false">
      <c r="A7" s="5" t="s">
        <v>35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6" t="s">
        <v>36</v>
      </c>
      <c r="B8" s="6" t="s">
        <v>37</v>
      </c>
      <c r="C8" s="6" t="s">
        <v>38</v>
      </c>
      <c r="D8" s="9" t="s">
        <v>39</v>
      </c>
      <c r="E8" s="8"/>
      <c r="F8" s="8"/>
      <c r="G8" s="8"/>
    </row>
    <row r="9" customFormat="false" ht="15" hidden="false" customHeight="false" outlineLevel="0" collapsed="false">
      <c r="A9" s="6" t="s">
        <v>40</v>
      </c>
      <c r="B9" s="6" t="s">
        <v>41</v>
      </c>
      <c r="C9" s="6"/>
      <c r="D9" s="10" t="n">
        <v>1000000</v>
      </c>
      <c r="E9" s="11"/>
      <c r="F9" s="11"/>
      <c r="G9" s="11"/>
    </row>
    <row r="10" customFormat="false" ht="15" hidden="false" customHeight="false" outlineLevel="0" collapsed="false">
      <c r="A10" s="6" t="s">
        <v>42</v>
      </c>
      <c r="B10" s="6" t="s">
        <v>43</v>
      </c>
      <c r="C10" s="6"/>
      <c r="D10" s="9" t="s">
        <v>44</v>
      </c>
      <c r="E10" s="8"/>
      <c r="F10" s="8"/>
      <c r="G10" s="8"/>
    </row>
    <row r="11" customFormat="false" ht="15" hidden="false" customHeight="false" outlineLevel="0" collapsed="false">
      <c r="A11" s="6" t="s">
        <v>45</v>
      </c>
      <c r="B11" s="6" t="s">
        <v>46</v>
      </c>
      <c r="C11" s="6"/>
      <c r="D11" s="12" t="str">
        <f aca="false">IFERROR(IF(INDEX(Summary!$C$6:$C$12,MATCH(D10,Summary!$B$6:$B$12,0))=0,"set FX",INDEX(Summary!$C$6:$C$12,MATCH(D10,Summary!$B$6:$B$12,0))),IF(D10="","","set FX"))</f>
        <v>set FX</v>
      </c>
      <c r="E11" s="12" t="str">
        <f aca="false">IFERROR(IF(INDEX(Summary!$C$6:$C$12,MATCH(E10,Summary!$B$6:$B$12,0))=0,"set FX",INDEX(Summary!$C$6:$C$12,MATCH(E10,Summary!$B$6:$B$12,0))),IF(E10="","","set FX"))</f>
        <v/>
      </c>
      <c r="F11" s="12" t="str">
        <f aca="false">IFERROR(IF(INDEX(Summary!$C$6:$C$12,MATCH(F10,Summary!$B$6:$B$12,0))=0,"set FX",INDEX(Summary!$C$6:$C$12,MATCH(F10,Summary!$B$6:$B$12,0))),IF(F10="","","set FX"))</f>
        <v/>
      </c>
      <c r="G11" s="12" t="str">
        <f aca="false">IFERROR(IF(INDEX(Summary!$C$6:$C$12,MATCH(G10,Summary!$B$6:$B$12,0))=0,"set FX",INDEX(Summary!$C$6:$C$12,MATCH(G10,Summary!$B$6:$B$12,0))),IF(G10="","","set FX"))</f>
        <v/>
      </c>
    </row>
    <row r="12" customFormat="false" ht="15" hidden="false" customHeight="false" outlineLevel="0" collapsed="false">
      <c r="A12" s="6" t="s">
        <v>47</v>
      </c>
      <c r="B12" s="6" t="s">
        <v>48</v>
      </c>
      <c r="C12" s="6"/>
      <c r="D12" s="13" t="str">
        <f aca="false">IF(OR(D9="",NOT(ISNUMBER(D11))),"",D9*D11)</f>
        <v/>
      </c>
      <c r="E12" s="13" t="str">
        <f aca="false">IF(OR(E9="",NOT(ISNUMBER(E11))),"",E9*E11)</f>
        <v/>
      </c>
      <c r="F12" s="13" t="str">
        <f aca="false">IF(OR(F9="",NOT(ISNUMBER(F11))),"",F9*F11)</f>
        <v/>
      </c>
      <c r="G12" s="13" t="str">
        <f aca="false">IF(OR(G9="",NOT(ISNUMBER(G11))),"",G9*G11)</f>
        <v/>
      </c>
    </row>
    <row r="13" customFormat="false" ht="26.85" hidden="false" customHeight="false" outlineLevel="0" collapsed="false">
      <c r="A13" s="6" t="s">
        <v>49</v>
      </c>
      <c r="B13" s="6"/>
      <c r="C13" s="6" t="s">
        <v>50</v>
      </c>
      <c r="D13" s="9" t="s">
        <v>51</v>
      </c>
      <c r="E13" s="8"/>
      <c r="F13" s="8"/>
      <c r="G13" s="8"/>
    </row>
    <row r="14" customFormat="false" ht="15" hidden="false" customHeight="false" outlineLevel="0" collapsed="false">
      <c r="A14" s="6" t="s">
        <v>52</v>
      </c>
      <c r="B14" s="6" t="s">
        <v>48</v>
      </c>
      <c r="C14" s="6" t="s">
        <v>53</v>
      </c>
      <c r="D14" s="14" t="n">
        <v>60000</v>
      </c>
      <c r="E14" s="15"/>
      <c r="F14" s="15"/>
      <c r="G14" s="15"/>
    </row>
    <row r="15" customFormat="false" ht="15" hidden="false" customHeight="false" outlineLevel="0" collapsed="false">
      <c r="A15" s="6" t="s">
        <v>54</v>
      </c>
      <c r="B15" s="6" t="s">
        <v>55</v>
      </c>
      <c r="C15" s="6" t="s">
        <v>56</v>
      </c>
      <c r="D15" s="9" t="s">
        <v>31</v>
      </c>
      <c r="E15" s="8"/>
      <c r="F15" s="8"/>
      <c r="G15" s="8"/>
    </row>
    <row r="16" customFormat="false" ht="26.85" hidden="false" customHeight="false" outlineLevel="0" collapsed="false">
      <c r="A16" s="6" t="s">
        <v>57</v>
      </c>
      <c r="B16" s="6" t="s">
        <v>48</v>
      </c>
      <c r="C16" s="6" t="s">
        <v>58</v>
      </c>
      <c r="D16" s="14" t="n">
        <v>25000</v>
      </c>
      <c r="E16" s="15"/>
      <c r="F16" s="15"/>
      <c r="G16" s="15"/>
    </row>
    <row r="17" customFormat="false" ht="15" hidden="false" customHeight="false" outlineLevel="0" collapsed="false">
      <c r="A17" s="6" t="s">
        <v>59</v>
      </c>
      <c r="B17" s="6" t="s">
        <v>48</v>
      </c>
      <c r="C17" s="6"/>
      <c r="D17" s="13" t="str">
        <f aca="false">IF(D12="","",D12+N(D14)+N(D16))</f>
        <v/>
      </c>
      <c r="E17" s="13" t="str">
        <f aca="false">IF(E12="","",E12+N(E14)+N(E16))</f>
        <v/>
      </c>
      <c r="F17" s="13" t="str">
        <f aca="false">IF(F12="","",F12+N(F14)+N(F16))</f>
        <v/>
      </c>
      <c r="G17" s="13" t="str">
        <f aca="false">IF(G12="","",G12+N(G14)+N(G16))</f>
        <v/>
      </c>
    </row>
    <row r="18" customFormat="false" ht="15" hidden="false" customHeight="false" outlineLevel="0" collapsed="false">
      <c r="A18" s="6" t="s">
        <v>60</v>
      </c>
      <c r="B18" s="6"/>
      <c r="C18" s="6" t="s">
        <v>61</v>
      </c>
      <c r="D18" s="16" t="str">
        <f aca="false">IF(D8="","",IF(D8="FORMAL QUOTE","YES","NO — not budget-grade"))</f>
        <v>NO — not budget-grade</v>
      </c>
      <c r="E18" s="16" t="str">
        <f aca="false">IF(E8="","",IF(E8="FORMAL QUOTE","YES","NO — not budget-grade"))</f>
        <v/>
      </c>
      <c r="F18" s="16" t="str">
        <f aca="false">IF(F8="","",IF(F8="FORMAL QUOTE","YES","NO — not budget-grade"))</f>
        <v/>
      </c>
      <c r="G18" s="16" t="str">
        <f aca="false">IF(G8="","",IF(G8="FORMAL QUOTE","YES","NO — not budget-grade"))</f>
        <v/>
      </c>
    </row>
    <row r="19" customFormat="false" ht="15" hidden="false" customHeight="false" outlineLevel="0" collapsed="false">
      <c r="A19" s="6" t="s">
        <v>62</v>
      </c>
      <c r="B19" s="6" t="s">
        <v>63</v>
      </c>
      <c r="C19" s="6"/>
      <c r="D19" s="7" t="n">
        <v>40</v>
      </c>
      <c r="E19" s="8"/>
      <c r="F19" s="8"/>
      <c r="G19" s="8"/>
    </row>
    <row r="20" customFormat="false" ht="26.85" hidden="false" customHeight="false" outlineLevel="0" collapsed="false">
      <c r="A20" s="6" t="s">
        <v>64</v>
      </c>
      <c r="B20" s="6"/>
      <c r="C20" s="6"/>
      <c r="D20" s="9" t="s">
        <v>65</v>
      </c>
      <c r="E20" s="8"/>
      <c r="F20" s="8"/>
      <c r="G20" s="8"/>
    </row>
    <row r="21" customFormat="false" ht="15" hidden="false" customHeight="false" outlineLevel="0" collapsed="false">
      <c r="A21" s="6" t="s">
        <v>66</v>
      </c>
      <c r="B21" s="6" t="s">
        <v>67</v>
      </c>
      <c r="C21" s="6"/>
      <c r="D21" s="7" t="n">
        <v>30</v>
      </c>
      <c r="E21" s="8"/>
      <c r="F21" s="8"/>
      <c r="G21" s="8"/>
    </row>
    <row r="22" customFormat="false" ht="15" hidden="false" customHeight="false" outlineLevel="0" collapsed="false">
      <c r="A22" s="6" t="s">
        <v>68</v>
      </c>
      <c r="B22" s="6"/>
      <c r="C22" s="6" t="s">
        <v>69</v>
      </c>
      <c r="D22" s="9" t="s">
        <v>70</v>
      </c>
      <c r="E22" s="8"/>
      <c r="F22" s="8"/>
      <c r="G22" s="8"/>
    </row>
    <row r="23" customFormat="false" ht="15" hidden="false" customHeight="false" outlineLevel="0" collapsed="false">
      <c r="A23" s="5" t="s">
        <v>71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6" t="s">
        <v>103</v>
      </c>
      <c r="B24" s="6" t="s">
        <v>104</v>
      </c>
      <c r="C24" s="6" t="s">
        <v>105</v>
      </c>
      <c r="D24" s="7" t="n">
        <v>2000</v>
      </c>
      <c r="E24" s="8"/>
      <c r="F24" s="8"/>
      <c r="G24" s="8"/>
    </row>
    <row r="25" customFormat="false" ht="15" hidden="false" customHeight="false" outlineLevel="0" collapsed="false">
      <c r="A25" s="6" t="s">
        <v>106</v>
      </c>
      <c r="B25" s="6" t="s">
        <v>107</v>
      </c>
      <c r="C25" s="6" t="s">
        <v>108</v>
      </c>
      <c r="D25" s="7" t="n">
        <v>350</v>
      </c>
      <c r="E25" s="8"/>
      <c r="F25" s="8"/>
      <c r="G25" s="8"/>
    </row>
    <row r="26" customFormat="false" ht="15" hidden="false" customHeight="false" outlineLevel="0" collapsed="false">
      <c r="A26" s="6" t="s">
        <v>109</v>
      </c>
      <c r="B26" s="6" t="s">
        <v>107</v>
      </c>
      <c r="C26" s="6" t="s">
        <v>110</v>
      </c>
      <c r="D26" s="7" t="n">
        <v>700</v>
      </c>
      <c r="E26" s="8"/>
      <c r="F26" s="8"/>
      <c r="G26" s="8"/>
    </row>
    <row r="27" customFormat="false" ht="15" hidden="false" customHeight="false" outlineLevel="0" collapsed="false">
      <c r="A27" s="6" t="s">
        <v>111</v>
      </c>
      <c r="B27" s="6"/>
      <c r="C27" s="6" t="s">
        <v>112</v>
      </c>
      <c r="D27" s="9" t="s">
        <v>113</v>
      </c>
      <c r="E27" s="8"/>
      <c r="F27" s="8"/>
      <c r="G27" s="8"/>
    </row>
    <row r="28" customFormat="false" ht="15" hidden="false" customHeight="false" outlineLevel="0" collapsed="false">
      <c r="A28" s="6" t="s">
        <v>114</v>
      </c>
      <c r="B28" s="6" t="s">
        <v>115</v>
      </c>
      <c r="C28" s="6" t="s">
        <v>116</v>
      </c>
      <c r="D28" s="7" t="n">
        <v>1.5</v>
      </c>
      <c r="E28" s="8"/>
      <c r="F28" s="8"/>
      <c r="G28" s="8"/>
    </row>
    <row r="29" customFormat="false" ht="39.55" hidden="false" customHeight="false" outlineLevel="0" collapsed="false">
      <c r="A29" s="6" t="s">
        <v>117</v>
      </c>
      <c r="B29" s="6" t="s">
        <v>118</v>
      </c>
      <c r="C29" s="6" t="s">
        <v>119</v>
      </c>
      <c r="D29" s="7" t="n">
        <v>1.66</v>
      </c>
      <c r="E29" s="8"/>
      <c r="F29" s="8"/>
      <c r="G29" s="8"/>
    </row>
    <row r="30" customFormat="false" ht="15" hidden="false" customHeight="false" outlineLevel="0" collapsed="false">
      <c r="A30" s="6" t="s">
        <v>120</v>
      </c>
      <c r="B30" s="6" t="s">
        <v>121</v>
      </c>
      <c r="C30" s="6" t="s">
        <v>122</v>
      </c>
      <c r="D30" s="7" t="n">
        <v>200</v>
      </c>
      <c r="E30" s="8"/>
      <c r="F30" s="8"/>
      <c r="G30" s="8"/>
    </row>
    <row r="31" customFormat="false" ht="15" hidden="false" customHeight="false" outlineLevel="0" collapsed="false">
      <c r="A31" s="6" t="s">
        <v>123</v>
      </c>
      <c r="B31" s="6" t="s">
        <v>124</v>
      </c>
      <c r="C31" s="6" t="s">
        <v>125</v>
      </c>
      <c r="D31" s="7" t="n">
        <v>1800</v>
      </c>
      <c r="E31" s="8"/>
      <c r="F31" s="8"/>
      <c r="G31" s="8"/>
    </row>
    <row r="32" customFormat="false" ht="26.85" hidden="false" customHeight="false" outlineLevel="0" collapsed="false">
      <c r="A32" s="6" t="s">
        <v>126</v>
      </c>
      <c r="B32" s="6" t="s">
        <v>55</v>
      </c>
      <c r="C32" s="6" t="s">
        <v>127</v>
      </c>
      <c r="D32" s="9" t="s">
        <v>127</v>
      </c>
      <c r="E32" s="8"/>
      <c r="F32" s="8"/>
      <c r="G32" s="8"/>
    </row>
    <row r="34" customFormat="false" ht="15" hidden="false" customHeight="false" outlineLevel="0" collapsed="false">
      <c r="A34" s="17" t="s">
        <v>97</v>
      </c>
      <c r="B34" s="17"/>
      <c r="C34" s="17"/>
      <c r="D34" s="17"/>
      <c r="E34" s="17"/>
      <c r="F34" s="17"/>
      <c r="G34" s="17"/>
    </row>
    <row r="35" customFormat="false" ht="15" hidden="false" customHeight="false" outlineLevel="0" collapsed="false">
      <c r="A35" s="18" t="s">
        <v>128</v>
      </c>
      <c r="C35" s="19" t="s">
        <v>129</v>
      </c>
      <c r="D35" s="18" t="str">
        <f aca="false">IF(D28="","",IF(ISNUMBER(D28),IF(D28&gt;=1.5,"PASS","FAIL"),"non-numeric"))</f>
        <v>PASS</v>
      </c>
      <c r="E35" s="18" t="str">
        <f aca="false">IF(E28="","",IF(ISNUMBER(E28),IF(E28&gt;=1.5,"PASS","FAIL"),"non-numeric"))</f>
        <v/>
      </c>
      <c r="F35" s="18" t="str">
        <f aca="false">IF(F28="","",IF(ISNUMBER(F28),IF(F28&gt;=1.5,"PASS","FAIL"),"non-numeric"))</f>
        <v/>
      </c>
      <c r="G35" s="18" t="str">
        <f aca="false">IF(G28="","",IF(ISNUMBER(G28),IF(G28&gt;=1.5,"PASS","FAIL"),"non-numeric"))</f>
        <v/>
      </c>
    </row>
    <row r="36" customFormat="false" ht="15" hidden="false" customHeight="false" outlineLevel="0" collapsed="false">
      <c r="A36" s="18" t="s">
        <v>130</v>
      </c>
      <c r="C36" s="19" t="s">
        <v>131</v>
      </c>
      <c r="D36" s="18" t="str">
        <f aca="false">IF(D30="","",IF(ISNUMBER(D30),IF(D30&gt;=170,"PASS","FAIL"),"non-numeric"))</f>
        <v>PASS</v>
      </c>
      <c r="E36" s="18" t="str">
        <f aca="false">IF(E30="","",IF(ISNUMBER(E30),IF(E30&gt;=170,"PASS","FAIL"),"non-numeric"))</f>
        <v/>
      </c>
      <c r="F36" s="18" t="str">
        <f aca="false">IF(F30="","",IF(ISNUMBER(F30),IF(F30&gt;=170,"PASS","FAIL"),"non-numeric"))</f>
        <v/>
      </c>
      <c r="G36" s="18" t="str">
        <f aca="false">IF(G30="","",IF(ISNUMBER(G30),IF(G30&gt;=170,"PASS","FAIL"),"non-numeric"))</f>
        <v/>
      </c>
    </row>
    <row r="37" customFormat="false" ht="15" hidden="false" customHeight="false" outlineLevel="0" collapsed="false">
      <c r="A37" s="20" t="s">
        <v>102</v>
      </c>
      <c r="D37" s="20" t="str">
        <f aca="false">COUNTIF(D35:D36,"PASS")&amp;" / "&amp;COUNTA(D35:D36)-COUNTBLANK(D35:D36)</f>
        <v>2 / 2</v>
      </c>
      <c r="E37" s="20" t="str">
        <f aca="false">COUNTIF(E35:E36,"PASS")&amp;" / "&amp;COUNTA(E35:E36)-COUNTBLANK(E35:E36)</f>
        <v>0 / 0</v>
      </c>
      <c r="F37" s="20" t="str">
        <f aca="false">COUNTIF(F35:F36,"PASS")&amp;" / "&amp;COUNTA(F35:F36)-COUNTBLANK(F35:F36)</f>
        <v>0 / 0</v>
      </c>
      <c r="G37" s="20" t="str">
        <f aca="false">COUNTIF(G35:G36,"PASS")&amp;" / "&amp;COUNTA(G35:G36)-COUNTBLANK(G35:G36)</f>
        <v>0 / 0</v>
      </c>
    </row>
  </sheetData>
  <dataValidations count="2">
    <dataValidation allowBlank="true" errorStyle="stop" operator="between" showDropDown="false" showErrorMessage="false" showInputMessage="false" sqref="D8:G8" type="list">
      <formula1>"FORMAL QUOTE,ADVERTISED PRICE,AUCTION START PRICE,TRANSACTION PRICE,SELLER CLAIM,ESTIMATE,UNKNOWN"</formula1>
      <formula2>0</formula2>
    </dataValidation>
    <dataValidation allowBlank="true" errorStyle="stop" operator="between" showDropDown="false" showErrorMessage="false" showInputMessage="false" sqref="D5:G5 D15:G15" type="list">
      <formula1>"Yes,No,Unknown"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7" min="4" style="0" width="24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customFormat="false" ht="15" hidden="false" customHeight="false" outlineLevel="0" collapsed="false">
      <c r="A2" s="5" t="s">
        <v>21</v>
      </c>
      <c r="B2" s="5"/>
      <c r="C2" s="5"/>
      <c r="D2" s="5"/>
      <c r="E2" s="5"/>
      <c r="F2" s="5"/>
      <c r="G2" s="5"/>
    </row>
    <row r="3" customFormat="false" ht="17.15" hidden="false" customHeight="false" outlineLevel="0" collapsed="false">
      <c r="A3" s="6" t="s">
        <v>22</v>
      </c>
      <c r="B3" s="6"/>
      <c r="C3" s="6" t="s">
        <v>23</v>
      </c>
      <c r="D3" s="7" t="s">
        <v>24</v>
      </c>
      <c r="E3" s="8"/>
      <c r="F3" s="8"/>
      <c r="G3" s="8"/>
    </row>
    <row r="4" customFormat="false" ht="15" hidden="false" customHeight="false" outlineLevel="0" collapsed="false">
      <c r="A4" s="6" t="s">
        <v>25</v>
      </c>
      <c r="B4" s="6"/>
      <c r="C4" s="6" t="s">
        <v>26</v>
      </c>
      <c r="D4" s="9" t="s">
        <v>27</v>
      </c>
      <c r="E4" s="8"/>
      <c r="F4" s="8"/>
      <c r="G4" s="8"/>
    </row>
    <row r="5" customFormat="false" ht="26.85" hidden="false" customHeight="false" outlineLevel="0" collapsed="false">
      <c r="A5" s="6" t="s">
        <v>28</v>
      </c>
      <c r="B5" s="6" t="s">
        <v>29</v>
      </c>
      <c r="C5" s="6" t="s">
        <v>30</v>
      </c>
      <c r="D5" s="9" t="s">
        <v>31</v>
      </c>
      <c r="E5" s="8"/>
      <c r="F5" s="8"/>
      <c r="G5" s="8"/>
    </row>
    <row r="6" customFormat="false" ht="15" hidden="false" customHeight="false" outlineLevel="0" collapsed="false">
      <c r="A6" s="6" t="s">
        <v>32</v>
      </c>
      <c r="B6" s="6"/>
      <c r="C6" s="6" t="s">
        <v>33</v>
      </c>
      <c r="D6" s="9" t="s">
        <v>34</v>
      </c>
      <c r="E6" s="8"/>
      <c r="F6" s="8"/>
      <c r="G6" s="8"/>
    </row>
    <row r="7" customFormat="false" ht="15" hidden="false" customHeight="false" outlineLevel="0" collapsed="false">
      <c r="A7" s="5" t="s">
        <v>35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6" t="s">
        <v>36</v>
      </c>
      <c r="B8" s="6" t="s">
        <v>37</v>
      </c>
      <c r="C8" s="6" t="s">
        <v>38</v>
      </c>
      <c r="D8" s="9" t="s">
        <v>39</v>
      </c>
      <c r="E8" s="8"/>
      <c r="F8" s="8"/>
      <c r="G8" s="8"/>
    </row>
    <row r="9" customFormat="false" ht="15" hidden="false" customHeight="false" outlineLevel="0" collapsed="false">
      <c r="A9" s="6" t="s">
        <v>40</v>
      </c>
      <c r="B9" s="6" t="s">
        <v>41</v>
      </c>
      <c r="C9" s="6"/>
      <c r="D9" s="10" t="n">
        <v>1000000</v>
      </c>
      <c r="E9" s="11"/>
      <c r="F9" s="11"/>
      <c r="G9" s="11"/>
    </row>
    <row r="10" customFormat="false" ht="15" hidden="false" customHeight="false" outlineLevel="0" collapsed="false">
      <c r="A10" s="6" t="s">
        <v>42</v>
      </c>
      <c r="B10" s="6" t="s">
        <v>43</v>
      </c>
      <c r="C10" s="6"/>
      <c r="D10" s="9" t="s">
        <v>44</v>
      </c>
      <c r="E10" s="8"/>
      <c r="F10" s="8"/>
      <c r="G10" s="8"/>
    </row>
    <row r="11" customFormat="false" ht="15" hidden="false" customHeight="false" outlineLevel="0" collapsed="false">
      <c r="A11" s="6" t="s">
        <v>45</v>
      </c>
      <c r="B11" s="6" t="s">
        <v>46</v>
      </c>
      <c r="C11" s="6"/>
      <c r="D11" s="12" t="str">
        <f aca="false">IFERROR(IF(INDEX(Summary!$C$6:$C$12,MATCH(D10,Summary!$B$6:$B$12,0))=0,"set FX",INDEX(Summary!$C$6:$C$12,MATCH(D10,Summary!$B$6:$B$12,0))),IF(D10="","","set FX"))</f>
        <v>set FX</v>
      </c>
      <c r="E11" s="12" t="str">
        <f aca="false">IFERROR(IF(INDEX(Summary!$C$6:$C$12,MATCH(E10,Summary!$B$6:$B$12,0))=0,"set FX",INDEX(Summary!$C$6:$C$12,MATCH(E10,Summary!$B$6:$B$12,0))),IF(E10="","","set FX"))</f>
        <v/>
      </c>
      <c r="F11" s="12" t="str">
        <f aca="false">IFERROR(IF(INDEX(Summary!$C$6:$C$12,MATCH(F10,Summary!$B$6:$B$12,0))=0,"set FX",INDEX(Summary!$C$6:$C$12,MATCH(F10,Summary!$B$6:$B$12,0))),IF(F10="","","set FX"))</f>
        <v/>
      </c>
      <c r="G11" s="12" t="str">
        <f aca="false">IFERROR(IF(INDEX(Summary!$C$6:$C$12,MATCH(G10,Summary!$B$6:$B$12,0))=0,"set FX",INDEX(Summary!$C$6:$C$12,MATCH(G10,Summary!$B$6:$B$12,0))),IF(G10="","","set FX"))</f>
        <v/>
      </c>
    </row>
    <row r="12" customFormat="false" ht="15" hidden="false" customHeight="false" outlineLevel="0" collapsed="false">
      <c r="A12" s="6" t="s">
        <v>47</v>
      </c>
      <c r="B12" s="6" t="s">
        <v>48</v>
      </c>
      <c r="C12" s="6"/>
      <c r="D12" s="13" t="str">
        <f aca="false">IF(OR(D9="",NOT(ISNUMBER(D11))),"",D9*D11)</f>
        <v/>
      </c>
      <c r="E12" s="13" t="str">
        <f aca="false">IF(OR(E9="",NOT(ISNUMBER(E11))),"",E9*E11)</f>
        <v/>
      </c>
      <c r="F12" s="13" t="str">
        <f aca="false">IF(OR(F9="",NOT(ISNUMBER(F11))),"",F9*F11)</f>
        <v/>
      </c>
      <c r="G12" s="13" t="str">
        <f aca="false">IF(OR(G9="",NOT(ISNUMBER(G11))),"",G9*G11)</f>
        <v/>
      </c>
    </row>
    <row r="13" customFormat="false" ht="26.85" hidden="false" customHeight="false" outlineLevel="0" collapsed="false">
      <c r="A13" s="6" t="s">
        <v>49</v>
      </c>
      <c r="B13" s="6"/>
      <c r="C13" s="6" t="s">
        <v>50</v>
      </c>
      <c r="D13" s="9" t="s">
        <v>51</v>
      </c>
      <c r="E13" s="8"/>
      <c r="F13" s="8"/>
      <c r="G13" s="8"/>
    </row>
    <row r="14" customFormat="false" ht="15" hidden="false" customHeight="false" outlineLevel="0" collapsed="false">
      <c r="A14" s="6" t="s">
        <v>52</v>
      </c>
      <c r="B14" s="6" t="s">
        <v>48</v>
      </c>
      <c r="C14" s="6" t="s">
        <v>53</v>
      </c>
      <c r="D14" s="14" t="n">
        <v>60000</v>
      </c>
      <c r="E14" s="15"/>
      <c r="F14" s="15"/>
      <c r="G14" s="15"/>
    </row>
    <row r="15" customFormat="false" ht="15" hidden="false" customHeight="false" outlineLevel="0" collapsed="false">
      <c r="A15" s="6" t="s">
        <v>54</v>
      </c>
      <c r="B15" s="6" t="s">
        <v>55</v>
      </c>
      <c r="C15" s="6" t="s">
        <v>56</v>
      </c>
      <c r="D15" s="9" t="s">
        <v>31</v>
      </c>
      <c r="E15" s="8"/>
      <c r="F15" s="8"/>
      <c r="G15" s="8"/>
    </row>
    <row r="16" customFormat="false" ht="26.85" hidden="false" customHeight="false" outlineLevel="0" collapsed="false">
      <c r="A16" s="6" t="s">
        <v>57</v>
      </c>
      <c r="B16" s="6" t="s">
        <v>48</v>
      </c>
      <c r="C16" s="6" t="s">
        <v>58</v>
      </c>
      <c r="D16" s="14" t="n">
        <v>25000</v>
      </c>
      <c r="E16" s="15"/>
      <c r="F16" s="15"/>
      <c r="G16" s="15"/>
    </row>
    <row r="17" customFormat="false" ht="15" hidden="false" customHeight="false" outlineLevel="0" collapsed="false">
      <c r="A17" s="6" t="s">
        <v>59</v>
      </c>
      <c r="B17" s="6" t="s">
        <v>48</v>
      </c>
      <c r="C17" s="6"/>
      <c r="D17" s="13" t="str">
        <f aca="false">IF(D12="","",D12+N(D14)+N(D16))</f>
        <v/>
      </c>
      <c r="E17" s="13" t="str">
        <f aca="false">IF(E12="","",E12+N(E14)+N(E16))</f>
        <v/>
      </c>
      <c r="F17" s="13" t="str">
        <f aca="false">IF(F12="","",F12+N(F14)+N(F16))</f>
        <v/>
      </c>
      <c r="G17" s="13" t="str">
        <f aca="false">IF(G12="","",G12+N(G14)+N(G16))</f>
        <v/>
      </c>
    </row>
    <row r="18" customFormat="false" ht="15" hidden="false" customHeight="false" outlineLevel="0" collapsed="false">
      <c r="A18" s="6" t="s">
        <v>60</v>
      </c>
      <c r="B18" s="6"/>
      <c r="C18" s="6" t="s">
        <v>61</v>
      </c>
      <c r="D18" s="16" t="str">
        <f aca="false">IF(D8="","",IF(D8="FORMAL QUOTE","YES","NO — not budget-grade"))</f>
        <v>NO — not budget-grade</v>
      </c>
      <c r="E18" s="16" t="str">
        <f aca="false">IF(E8="","",IF(E8="FORMAL QUOTE","YES","NO — not budget-grade"))</f>
        <v/>
      </c>
      <c r="F18" s="16" t="str">
        <f aca="false">IF(F8="","",IF(F8="FORMAL QUOTE","YES","NO — not budget-grade"))</f>
        <v/>
      </c>
      <c r="G18" s="16" t="str">
        <f aca="false">IF(G8="","",IF(G8="FORMAL QUOTE","YES","NO — not budget-grade"))</f>
        <v/>
      </c>
    </row>
    <row r="19" customFormat="false" ht="15" hidden="false" customHeight="false" outlineLevel="0" collapsed="false">
      <c r="A19" s="6" t="s">
        <v>62</v>
      </c>
      <c r="B19" s="6" t="s">
        <v>63</v>
      </c>
      <c r="C19" s="6"/>
      <c r="D19" s="7" t="n">
        <v>40</v>
      </c>
      <c r="E19" s="8"/>
      <c r="F19" s="8"/>
      <c r="G19" s="8"/>
    </row>
    <row r="20" customFormat="false" ht="26.85" hidden="false" customHeight="false" outlineLevel="0" collapsed="false">
      <c r="A20" s="6" t="s">
        <v>64</v>
      </c>
      <c r="B20" s="6"/>
      <c r="C20" s="6"/>
      <c r="D20" s="9" t="s">
        <v>65</v>
      </c>
      <c r="E20" s="8"/>
      <c r="F20" s="8"/>
      <c r="G20" s="8"/>
    </row>
    <row r="21" customFormat="false" ht="15" hidden="false" customHeight="false" outlineLevel="0" collapsed="false">
      <c r="A21" s="6" t="s">
        <v>66</v>
      </c>
      <c r="B21" s="6" t="s">
        <v>67</v>
      </c>
      <c r="C21" s="6"/>
      <c r="D21" s="7" t="n">
        <v>30</v>
      </c>
      <c r="E21" s="8"/>
      <c r="F21" s="8"/>
      <c r="G21" s="8"/>
    </row>
    <row r="22" customFormat="false" ht="15" hidden="false" customHeight="false" outlineLevel="0" collapsed="false">
      <c r="A22" s="6" t="s">
        <v>68</v>
      </c>
      <c r="B22" s="6"/>
      <c r="C22" s="6" t="s">
        <v>69</v>
      </c>
      <c r="D22" s="9" t="s">
        <v>70</v>
      </c>
      <c r="E22" s="8"/>
      <c r="F22" s="8"/>
      <c r="G22" s="8"/>
    </row>
    <row r="23" customFormat="false" ht="15" hidden="false" customHeight="false" outlineLevel="0" collapsed="false">
      <c r="A23" s="5" t="s">
        <v>71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6" t="s">
        <v>132</v>
      </c>
      <c r="B24" s="6"/>
      <c r="C24" s="6" t="s">
        <v>112</v>
      </c>
      <c r="D24" s="9" t="s">
        <v>133</v>
      </c>
      <c r="E24" s="8"/>
      <c r="F24" s="8"/>
      <c r="G24" s="8"/>
    </row>
    <row r="25" customFormat="false" ht="15" hidden="false" customHeight="false" outlineLevel="0" collapsed="false">
      <c r="A25" s="6" t="s">
        <v>134</v>
      </c>
      <c r="B25" s="6" t="s">
        <v>135</v>
      </c>
      <c r="C25" s="6" t="s">
        <v>136</v>
      </c>
      <c r="D25" s="7" t="n">
        <v>6.5</v>
      </c>
      <c r="E25" s="8"/>
      <c r="F25" s="8"/>
      <c r="G25" s="8"/>
    </row>
    <row r="26" customFormat="false" ht="15" hidden="false" customHeight="false" outlineLevel="0" collapsed="false">
      <c r="A26" s="6" t="s">
        <v>137</v>
      </c>
      <c r="B26" s="6" t="s">
        <v>76</v>
      </c>
      <c r="C26" s="6" t="s">
        <v>138</v>
      </c>
      <c r="D26" s="7" t="n">
        <v>600</v>
      </c>
      <c r="E26" s="8"/>
      <c r="F26" s="8"/>
      <c r="G26" s="8"/>
    </row>
    <row r="27" customFormat="false" ht="15" hidden="false" customHeight="false" outlineLevel="0" collapsed="false">
      <c r="A27" s="6" t="s">
        <v>139</v>
      </c>
      <c r="B27" s="6" t="s">
        <v>76</v>
      </c>
      <c r="C27" s="6" t="s">
        <v>138</v>
      </c>
      <c r="D27" s="7" t="n">
        <v>600</v>
      </c>
      <c r="E27" s="8"/>
      <c r="F27" s="8"/>
      <c r="G27" s="8"/>
    </row>
    <row r="28" customFormat="false" ht="15" hidden="false" customHeight="false" outlineLevel="0" collapsed="false">
      <c r="A28" s="6" t="s">
        <v>140</v>
      </c>
      <c r="B28" s="6" t="s">
        <v>141</v>
      </c>
      <c r="C28" s="6" t="s">
        <v>142</v>
      </c>
      <c r="D28" s="7" t="n">
        <v>3</v>
      </c>
      <c r="E28" s="8"/>
      <c r="F28" s="8"/>
      <c r="G28" s="8"/>
    </row>
    <row r="29" customFormat="false" ht="15" hidden="false" customHeight="false" outlineLevel="0" collapsed="false">
      <c r="A29" s="6" t="s">
        <v>143</v>
      </c>
      <c r="B29" s="6" t="s">
        <v>76</v>
      </c>
      <c r="C29" s="6" t="s">
        <v>144</v>
      </c>
      <c r="D29" s="7" t="n">
        <v>646</v>
      </c>
      <c r="E29" s="8"/>
      <c r="F29" s="8"/>
      <c r="G29" s="8"/>
    </row>
    <row r="30" customFormat="false" ht="15" hidden="false" customHeight="false" outlineLevel="0" collapsed="false">
      <c r="A30" s="6" t="s">
        <v>145</v>
      </c>
      <c r="B30" s="6"/>
      <c r="C30" s="6" t="s">
        <v>146</v>
      </c>
      <c r="D30" s="9" t="s">
        <v>147</v>
      </c>
      <c r="E30" s="8"/>
      <c r="F30" s="8"/>
      <c r="G30" s="8"/>
    </row>
    <row r="31" customFormat="false" ht="15" hidden="false" customHeight="false" outlineLevel="0" collapsed="false">
      <c r="A31" s="6" t="s">
        <v>148</v>
      </c>
      <c r="B31" s="6"/>
      <c r="C31" s="6" t="s">
        <v>146</v>
      </c>
      <c r="D31" s="9" t="s">
        <v>149</v>
      </c>
      <c r="E31" s="8"/>
      <c r="F31" s="8"/>
      <c r="G31" s="8"/>
    </row>
    <row r="32" customFormat="false" ht="15" hidden="false" customHeight="false" outlineLevel="0" collapsed="false">
      <c r="A32" s="6" t="s">
        <v>150</v>
      </c>
      <c r="B32" s="6" t="s">
        <v>151</v>
      </c>
      <c r="C32" s="6" t="s">
        <v>152</v>
      </c>
      <c r="D32" s="7"/>
      <c r="E32" s="8"/>
      <c r="F32" s="8"/>
      <c r="G32" s="8"/>
    </row>
    <row r="34" customFormat="false" ht="15" hidden="false" customHeight="false" outlineLevel="0" collapsed="false">
      <c r="A34" s="17" t="s">
        <v>97</v>
      </c>
      <c r="B34" s="17"/>
      <c r="C34" s="17"/>
      <c r="D34" s="17"/>
      <c r="E34" s="17"/>
      <c r="F34" s="17"/>
      <c r="G34" s="17"/>
    </row>
    <row r="35" customFormat="false" ht="15" hidden="false" customHeight="false" outlineLevel="0" collapsed="false">
      <c r="A35" s="18" t="s">
        <v>153</v>
      </c>
      <c r="C35" s="19" t="s">
        <v>154</v>
      </c>
      <c r="D35" s="18" t="str">
        <f aca="false">IF(D25="","",IF(ISNUMBER(D25),IF(D25&gt;=6,"PASS","FAIL"),"non-numeric"))</f>
        <v>PASS</v>
      </c>
      <c r="E35" s="18" t="str">
        <f aca="false">IF(E25="","",IF(ISNUMBER(E25),IF(E25&gt;=6,"PASS","FAIL"),"non-numeric"))</f>
        <v/>
      </c>
      <c r="F35" s="18" t="str">
        <f aca="false">IF(F25="","",IF(ISNUMBER(F25),IF(F25&gt;=6,"PASS","FAIL"),"non-numeric"))</f>
        <v/>
      </c>
      <c r="G35" s="18" t="str">
        <f aca="false">IF(G25="","",IF(ISNUMBER(G25),IF(G25&gt;=6,"PASS","FAIL"),"non-numeric"))</f>
        <v/>
      </c>
    </row>
    <row r="36" customFormat="false" ht="15" hidden="false" customHeight="false" outlineLevel="0" collapsed="false">
      <c r="A36" s="18" t="s">
        <v>155</v>
      </c>
      <c r="C36" s="19" t="s">
        <v>156</v>
      </c>
      <c r="D36" s="18" t="str">
        <f aca="false">IF(D28="","",IF(ISNUMBER(D28),IF(D28&gt;=3,"PASS","FAIL"),"non-numeric"))</f>
        <v>PASS</v>
      </c>
      <c r="E36" s="18" t="str">
        <f aca="false">IF(E28="","",IF(ISNUMBER(E28),IF(E28&gt;=3,"PASS","FAIL"),"non-numeric"))</f>
        <v/>
      </c>
      <c r="F36" s="18" t="str">
        <f aca="false">IF(F28="","",IF(ISNUMBER(F28),IF(F28&gt;=3,"PASS","FAIL"),"non-numeric"))</f>
        <v/>
      </c>
      <c r="G36" s="18" t="str">
        <f aca="false">IF(G28="","",IF(ISNUMBER(G28),IF(G28&gt;=3,"PASS","FAIL"),"non-numeric"))</f>
        <v/>
      </c>
    </row>
    <row r="37" customFormat="false" ht="15" hidden="false" customHeight="false" outlineLevel="0" collapsed="false">
      <c r="A37" s="20" t="s">
        <v>102</v>
      </c>
      <c r="D37" s="20" t="str">
        <f aca="false">COUNTIF(D35:D36,"PASS")&amp;" / "&amp;COUNTA(D35:D36)-COUNTBLANK(D35:D36)</f>
        <v>2 / 2</v>
      </c>
      <c r="E37" s="20" t="str">
        <f aca="false">COUNTIF(E35:E36,"PASS")&amp;" / "&amp;COUNTA(E35:E36)-COUNTBLANK(E35:E36)</f>
        <v>0 / 0</v>
      </c>
      <c r="F37" s="20" t="str">
        <f aca="false">COUNTIF(F35:F36,"PASS")&amp;" / "&amp;COUNTA(F35:F36)-COUNTBLANK(F35:F36)</f>
        <v>0 / 0</v>
      </c>
      <c r="G37" s="20" t="str">
        <f aca="false">COUNTIF(G35:G36,"PASS")&amp;" / "&amp;COUNTA(G35:G36)-COUNTBLANK(G35:G36)</f>
        <v>0 / 0</v>
      </c>
    </row>
  </sheetData>
  <dataValidations count="2">
    <dataValidation allowBlank="true" errorStyle="stop" operator="between" showDropDown="false" showErrorMessage="false" showInputMessage="false" sqref="D8:G8" type="list">
      <formula1>"FORMAL QUOTE,ADVERTISED PRICE,AUCTION START PRICE,TRANSACTION PRICE,SELLER CLAIM,ESTIMATE,UNKNOWN"</formula1>
      <formula2>0</formula2>
    </dataValidation>
    <dataValidation allowBlank="true" errorStyle="stop" operator="between" showDropDown="false" showErrorMessage="false" showInputMessage="false" sqref="D5:G5 D15:G15" type="list">
      <formula1>"Yes,No,Unknown"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7" min="4" style="0" width="24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customFormat="false" ht="15" hidden="false" customHeight="false" outlineLevel="0" collapsed="false">
      <c r="A2" s="5" t="s">
        <v>21</v>
      </c>
      <c r="B2" s="5"/>
      <c r="C2" s="5"/>
      <c r="D2" s="5"/>
      <c r="E2" s="5"/>
      <c r="F2" s="5"/>
      <c r="G2" s="5"/>
    </row>
    <row r="3" customFormat="false" ht="17.15" hidden="false" customHeight="false" outlineLevel="0" collapsed="false">
      <c r="A3" s="6" t="s">
        <v>22</v>
      </c>
      <c r="B3" s="6"/>
      <c r="C3" s="6" t="s">
        <v>23</v>
      </c>
      <c r="D3" s="7" t="s">
        <v>24</v>
      </c>
      <c r="E3" s="8"/>
      <c r="F3" s="8"/>
      <c r="G3" s="8"/>
    </row>
    <row r="4" customFormat="false" ht="15" hidden="false" customHeight="false" outlineLevel="0" collapsed="false">
      <c r="A4" s="6" t="s">
        <v>25</v>
      </c>
      <c r="B4" s="6"/>
      <c r="C4" s="6" t="s">
        <v>26</v>
      </c>
      <c r="D4" s="9" t="s">
        <v>27</v>
      </c>
      <c r="E4" s="8"/>
      <c r="F4" s="8"/>
      <c r="G4" s="8"/>
    </row>
    <row r="5" customFormat="false" ht="26.85" hidden="false" customHeight="false" outlineLevel="0" collapsed="false">
      <c r="A5" s="6" t="s">
        <v>28</v>
      </c>
      <c r="B5" s="6" t="s">
        <v>29</v>
      </c>
      <c r="C5" s="6" t="s">
        <v>30</v>
      </c>
      <c r="D5" s="9" t="s">
        <v>31</v>
      </c>
      <c r="E5" s="8"/>
      <c r="F5" s="8"/>
      <c r="G5" s="8"/>
    </row>
    <row r="6" customFormat="false" ht="15" hidden="false" customHeight="false" outlineLevel="0" collapsed="false">
      <c r="A6" s="6" t="s">
        <v>32</v>
      </c>
      <c r="B6" s="6"/>
      <c r="C6" s="6" t="s">
        <v>33</v>
      </c>
      <c r="D6" s="9" t="s">
        <v>34</v>
      </c>
      <c r="E6" s="8"/>
      <c r="F6" s="8"/>
      <c r="G6" s="8"/>
    </row>
    <row r="7" customFormat="false" ht="15" hidden="false" customHeight="false" outlineLevel="0" collapsed="false">
      <c r="A7" s="5" t="s">
        <v>35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6" t="s">
        <v>36</v>
      </c>
      <c r="B8" s="6" t="s">
        <v>37</v>
      </c>
      <c r="C8" s="6" t="s">
        <v>38</v>
      </c>
      <c r="D8" s="9" t="s">
        <v>39</v>
      </c>
      <c r="E8" s="8"/>
      <c r="F8" s="8"/>
      <c r="G8" s="8"/>
    </row>
    <row r="9" customFormat="false" ht="15" hidden="false" customHeight="false" outlineLevel="0" collapsed="false">
      <c r="A9" s="6" t="s">
        <v>40</v>
      </c>
      <c r="B9" s="6" t="s">
        <v>41</v>
      </c>
      <c r="C9" s="6"/>
      <c r="D9" s="10" t="n">
        <v>1000000</v>
      </c>
      <c r="E9" s="11"/>
      <c r="F9" s="11"/>
      <c r="G9" s="11"/>
    </row>
    <row r="10" customFormat="false" ht="15" hidden="false" customHeight="false" outlineLevel="0" collapsed="false">
      <c r="A10" s="6" t="s">
        <v>42</v>
      </c>
      <c r="B10" s="6" t="s">
        <v>43</v>
      </c>
      <c r="C10" s="6"/>
      <c r="D10" s="9" t="s">
        <v>44</v>
      </c>
      <c r="E10" s="8"/>
      <c r="F10" s="8"/>
      <c r="G10" s="8"/>
    </row>
    <row r="11" customFormat="false" ht="15" hidden="false" customHeight="false" outlineLevel="0" collapsed="false">
      <c r="A11" s="6" t="s">
        <v>45</v>
      </c>
      <c r="B11" s="6" t="s">
        <v>46</v>
      </c>
      <c r="C11" s="6"/>
      <c r="D11" s="12" t="str">
        <f aca="false">IFERROR(IF(INDEX(Summary!$C$6:$C$12,MATCH(D10,Summary!$B$6:$B$12,0))=0,"set FX",INDEX(Summary!$C$6:$C$12,MATCH(D10,Summary!$B$6:$B$12,0))),IF(D10="","","set FX"))</f>
        <v>set FX</v>
      </c>
      <c r="E11" s="12" t="str">
        <f aca="false">IFERROR(IF(INDEX(Summary!$C$6:$C$12,MATCH(E10,Summary!$B$6:$B$12,0))=0,"set FX",INDEX(Summary!$C$6:$C$12,MATCH(E10,Summary!$B$6:$B$12,0))),IF(E10="","","set FX"))</f>
        <v/>
      </c>
      <c r="F11" s="12" t="str">
        <f aca="false">IFERROR(IF(INDEX(Summary!$C$6:$C$12,MATCH(F10,Summary!$B$6:$B$12,0))=0,"set FX",INDEX(Summary!$C$6:$C$12,MATCH(F10,Summary!$B$6:$B$12,0))),IF(F10="","","set FX"))</f>
        <v/>
      </c>
      <c r="G11" s="12" t="str">
        <f aca="false">IFERROR(IF(INDEX(Summary!$C$6:$C$12,MATCH(G10,Summary!$B$6:$B$12,0))=0,"set FX",INDEX(Summary!$C$6:$C$12,MATCH(G10,Summary!$B$6:$B$12,0))),IF(G10="","","set FX"))</f>
        <v/>
      </c>
    </row>
    <row r="12" customFormat="false" ht="15" hidden="false" customHeight="false" outlineLevel="0" collapsed="false">
      <c r="A12" s="6" t="s">
        <v>47</v>
      </c>
      <c r="B12" s="6" t="s">
        <v>48</v>
      </c>
      <c r="C12" s="6"/>
      <c r="D12" s="13" t="str">
        <f aca="false">IF(OR(D9="",NOT(ISNUMBER(D11))),"",D9*D11)</f>
        <v/>
      </c>
      <c r="E12" s="13" t="str">
        <f aca="false">IF(OR(E9="",NOT(ISNUMBER(E11))),"",E9*E11)</f>
        <v/>
      </c>
      <c r="F12" s="13" t="str">
        <f aca="false">IF(OR(F9="",NOT(ISNUMBER(F11))),"",F9*F11)</f>
        <v/>
      </c>
      <c r="G12" s="13" t="str">
        <f aca="false">IF(OR(G9="",NOT(ISNUMBER(G11))),"",G9*G11)</f>
        <v/>
      </c>
    </row>
    <row r="13" customFormat="false" ht="26.85" hidden="false" customHeight="false" outlineLevel="0" collapsed="false">
      <c r="A13" s="6" t="s">
        <v>49</v>
      </c>
      <c r="B13" s="6"/>
      <c r="C13" s="6" t="s">
        <v>50</v>
      </c>
      <c r="D13" s="9" t="s">
        <v>51</v>
      </c>
      <c r="E13" s="8"/>
      <c r="F13" s="8"/>
      <c r="G13" s="8"/>
    </row>
    <row r="14" customFormat="false" ht="15" hidden="false" customHeight="false" outlineLevel="0" collapsed="false">
      <c r="A14" s="6" t="s">
        <v>52</v>
      </c>
      <c r="B14" s="6" t="s">
        <v>48</v>
      </c>
      <c r="C14" s="6" t="s">
        <v>53</v>
      </c>
      <c r="D14" s="14" t="n">
        <v>60000</v>
      </c>
      <c r="E14" s="15"/>
      <c r="F14" s="15"/>
      <c r="G14" s="15"/>
    </row>
    <row r="15" customFormat="false" ht="15" hidden="false" customHeight="false" outlineLevel="0" collapsed="false">
      <c r="A15" s="6" t="s">
        <v>54</v>
      </c>
      <c r="B15" s="6" t="s">
        <v>55</v>
      </c>
      <c r="C15" s="6" t="s">
        <v>56</v>
      </c>
      <c r="D15" s="9" t="s">
        <v>31</v>
      </c>
      <c r="E15" s="8"/>
      <c r="F15" s="8"/>
      <c r="G15" s="8"/>
    </row>
    <row r="16" customFormat="false" ht="26.85" hidden="false" customHeight="false" outlineLevel="0" collapsed="false">
      <c r="A16" s="6" t="s">
        <v>57</v>
      </c>
      <c r="B16" s="6" t="s">
        <v>48</v>
      </c>
      <c r="C16" s="6" t="s">
        <v>58</v>
      </c>
      <c r="D16" s="14" t="n">
        <v>25000</v>
      </c>
      <c r="E16" s="15"/>
      <c r="F16" s="15"/>
      <c r="G16" s="15"/>
    </row>
    <row r="17" customFormat="false" ht="15" hidden="false" customHeight="false" outlineLevel="0" collapsed="false">
      <c r="A17" s="6" t="s">
        <v>59</v>
      </c>
      <c r="B17" s="6" t="s">
        <v>48</v>
      </c>
      <c r="C17" s="6"/>
      <c r="D17" s="13" t="str">
        <f aca="false">IF(D12="","",D12+N(D14)+N(D16))</f>
        <v/>
      </c>
      <c r="E17" s="13" t="str">
        <f aca="false">IF(E12="","",E12+N(E14)+N(E16))</f>
        <v/>
      </c>
      <c r="F17" s="13" t="str">
        <f aca="false">IF(F12="","",F12+N(F14)+N(F16))</f>
        <v/>
      </c>
      <c r="G17" s="13" t="str">
        <f aca="false">IF(G12="","",G12+N(G14)+N(G16))</f>
        <v/>
      </c>
    </row>
    <row r="18" customFormat="false" ht="15" hidden="false" customHeight="false" outlineLevel="0" collapsed="false">
      <c r="A18" s="6" t="s">
        <v>60</v>
      </c>
      <c r="B18" s="6"/>
      <c r="C18" s="6" t="s">
        <v>61</v>
      </c>
      <c r="D18" s="16" t="str">
        <f aca="false">IF(D8="","",IF(D8="FORMAL QUOTE","YES","NO — not budget-grade"))</f>
        <v>NO — not budget-grade</v>
      </c>
      <c r="E18" s="16" t="str">
        <f aca="false">IF(E8="","",IF(E8="FORMAL QUOTE","YES","NO — not budget-grade"))</f>
        <v/>
      </c>
      <c r="F18" s="16" t="str">
        <f aca="false">IF(F8="","",IF(F8="FORMAL QUOTE","YES","NO — not budget-grade"))</f>
        <v/>
      </c>
      <c r="G18" s="16" t="str">
        <f aca="false">IF(G8="","",IF(G8="FORMAL QUOTE","YES","NO — not budget-grade"))</f>
        <v/>
      </c>
    </row>
    <row r="19" customFormat="false" ht="15" hidden="false" customHeight="false" outlineLevel="0" collapsed="false">
      <c r="A19" s="6" t="s">
        <v>62</v>
      </c>
      <c r="B19" s="6" t="s">
        <v>63</v>
      </c>
      <c r="C19" s="6"/>
      <c r="D19" s="7" t="n">
        <v>40</v>
      </c>
      <c r="E19" s="8"/>
      <c r="F19" s="8"/>
      <c r="G19" s="8"/>
    </row>
    <row r="20" customFormat="false" ht="26.85" hidden="false" customHeight="false" outlineLevel="0" collapsed="false">
      <c r="A20" s="6" t="s">
        <v>64</v>
      </c>
      <c r="B20" s="6"/>
      <c r="C20" s="6"/>
      <c r="D20" s="9" t="s">
        <v>65</v>
      </c>
      <c r="E20" s="8"/>
      <c r="F20" s="8"/>
      <c r="G20" s="8"/>
    </row>
    <row r="21" customFormat="false" ht="15" hidden="false" customHeight="false" outlineLevel="0" collapsed="false">
      <c r="A21" s="6" t="s">
        <v>66</v>
      </c>
      <c r="B21" s="6" t="s">
        <v>67</v>
      </c>
      <c r="C21" s="6"/>
      <c r="D21" s="7" t="n">
        <v>30</v>
      </c>
      <c r="E21" s="8"/>
      <c r="F21" s="8"/>
      <c r="G21" s="8"/>
    </row>
    <row r="22" customFormat="false" ht="15" hidden="false" customHeight="false" outlineLevel="0" collapsed="false">
      <c r="A22" s="6" t="s">
        <v>68</v>
      </c>
      <c r="B22" s="6"/>
      <c r="C22" s="6" t="s">
        <v>69</v>
      </c>
      <c r="D22" s="9" t="s">
        <v>70</v>
      </c>
      <c r="E22" s="8"/>
      <c r="F22" s="8"/>
      <c r="G22" s="8"/>
    </row>
    <row r="23" customFormat="false" ht="15" hidden="false" customHeight="false" outlineLevel="0" collapsed="false">
      <c r="A23" s="5" t="s">
        <v>71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6" t="s">
        <v>157</v>
      </c>
      <c r="B24" s="6"/>
      <c r="C24" s="6" t="s">
        <v>158</v>
      </c>
      <c r="D24" s="9" t="s">
        <v>159</v>
      </c>
      <c r="E24" s="8"/>
      <c r="F24" s="8"/>
      <c r="G24" s="8"/>
    </row>
    <row r="25" customFormat="false" ht="15" hidden="false" customHeight="false" outlineLevel="0" collapsed="false">
      <c r="A25" s="6" t="s">
        <v>160</v>
      </c>
      <c r="B25" s="6" t="s">
        <v>161</v>
      </c>
      <c r="C25" s="6" t="s">
        <v>162</v>
      </c>
      <c r="D25" s="7" t="n">
        <v>7.1</v>
      </c>
      <c r="E25" s="8"/>
      <c r="F25" s="8"/>
      <c r="G25" s="8"/>
    </row>
    <row r="26" customFormat="false" ht="15" hidden="false" customHeight="false" outlineLevel="0" collapsed="false">
      <c r="A26" s="6" t="s">
        <v>163</v>
      </c>
      <c r="B26" s="6" t="s">
        <v>164</v>
      </c>
      <c r="C26" s="6" t="s">
        <v>165</v>
      </c>
      <c r="D26" s="7" t="n">
        <v>405</v>
      </c>
      <c r="E26" s="8"/>
      <c r="F26" s="8"/>
      <c r="G26" s="8"/>
    </row>
    <row r="27" customFormat="false" ht="15" hidden="false" customHeight="false" outlineLevel="0" collapsed="false">
      <c r="A27" s="6" t="s">
        <v>166</v>
      </c>
      <c r="B27" s="6" t="s">
        <v>164</v>
      </c>
      <c r="C27" s="6" t="s">
        <v>167</v>
      </c>
      <c r="D27" s="7" t="n">
        <v>700</v>
      </c>
      <c r="E27" s="8"/>
      <c r="F27" s="8"/>
      <c r="G27" s="8"/>
    </row>
    <row r="28" customFormat="false" ht="15" hidden="false" customHeight="false" outlineLevel="0" collapsed="false">
      <c r="A28" s="6" t="s">
        <v>168</v>
      </c>
      <c r="B28" s="6" t="s">
        <v>104</v>
      </c>
      <c r="C28" s="6" t="s">
        <v>169</v>
      </c>
      <c r="D28" s="7" t="n">
        <v>2200</v>
      </c>
      <c r="E28" s="8"/>
      <c r="F28" s="8"/>
      <c r="G28" s="8"/>
    </row>
    <row r="29" customFormat="false" ht="15" hidden="false" customHeight="false" outlineLevel="0" collapsed="false">
      <c r="A29" s="6" t="s">
        <v>170</v>
      </c>
      <c r="B29" s="6" t="s">
        <v>141</v>
      </c>
      <c r="C29" s="6" t="s">
        <v>171</v>
      </c>
      <c r="D29" s="7" t="n">
        <v>3.1</v>
      </c>
      <c r="E29" s="8"/>
      <c r="F29" s="8"/>
      <c r="G29" s="8"/>
    </row>
    <row r="30" customFormat="false" ht="15" hidden="false" customHeight="false" outlineLevel="0" collapsed="false">
      <c r="A30" s="6" t="s">
        <v>172</v>
      </c>
      <c r="B30" s="6"/>
      <c r="C30" s="6" t="s">
        <v>173</v>
      </c>
      <c r="D30" s="7" t="n">
        <v>2</v>
      </c>
      <c r="E30" s="8"/>
      <c r="F30" s="8"/>
      <c r="G30" s="8"/>
    </row>
    <row r="31" customFormat="false" ht="15" hidden="false" customHeight="false" outlineLevel="0" collapsed="false">
      <c r="A31" s="6" t="s">
        <v>174</v>
      </c>
      <c r="B31" s="6" t="s">
        <v>55</v>
      </c>
      <c r="C31" s="6" t="s">
        <v>127</v>
      </c>
      <c r="D31" s="9" t="s">
        <v>127</v>
      </c>
      <c r="E31" s="8"/>
      <c r="F31" s="8"/>
      <c r="G31" s="8"/>
    </row>
    <row r="32" customFormat="false" ht="15" hidden="false" customHeight="false" outlineLevel="0" collapsed="false">
      <c r="A32" s="6" t="s">
        <v>120</v>
      </c>
      <c r="B32" s="6" t="s">
        <v>121</v>
      </c>
      <c r="C32" s="6" t="s">
        <v>122</v>
      </c>
      <c r="D32" s="7" t="n">
        <v>200</v>
      </c>
      <c r="E32" s="8"/>
      <c r="F32" s="8"/>
      <c r="G32" s="8"/>
    </row>
    <row r="34" customFormat="false" ht="15" hidden="false" customHeight="false" outlineLevel="0" collapsed="false">
      <c r="A34" s="17" t="s">
        <v>97</v>
      </c>
      <c r="B34" s="17"/>
      <c r="C34" s="17"/>
      <c r="D34" s="17"/>
      <c r="E34" s="17"/>
      <c r="F34" s="17"/>
      <c r="G34" s="17"/>
    </row>
    <row r="35" customFormat="false" ht="15" hidden="false" customHeight="false" outlineLevel="0" collapsed="false">
      <c r="A35" s="18" t="s">
        <v>175</v>
      </c>
      <c r="C35" s="19" t="s">
        <v>176</v>
      </c>
      <c r="D35" s="18" t="str">
        <f aca="false">IF(D26="","",IF(ISNUMBER(D26),IF(D26&gt;=330,"PASS","FAIL"),"non-numeric"))</f>
        <v>PASS</v>
      </c>
      <c r="E35" s="18" t="str">
        <f aca="false">IF(E26="","",IF(ISNUMBER(E26),IF(E26&gt;=330,"PASS","FAIL"),"non-numeric"))</f>
        <v/>
      </c>
      <c r="F35" s="18" t="str">
        <f aca="false">IF(F26="","",IF(ISNUMBER(F26),IF(F26&gt;=330,"PASS","FAIL"),"non-numeric"))</f>
        <v/>
      </c>
      <c r="G35" s="18" t="str">
        <f aca="false">IF(G26="","",IF(ISNUMBER(G26),IF(G26&gt;=330,"PASS","FAIL"),"non-numeric"))</f>
        <v/>
      </c>
    </row>
    <row r="36" customFormat="false" ht="15" hidden="false" customHeight="false" outlineLevel="0" collapsed="false">
      <c r="A36" s="18" t="s">
        <v>177</v>
      </c>
      <c r="C36" s="19" t="s">
        <v>178</v>
      </c>
      <c r="D36" s="18" t="str">
        <f aca="false">IF(D27="","",IF(ISNUMBER(D27),IF(D27&gt;=655,"PASS","FAIL"),"non-numeric"))</f>
        <v>PASS</v>
      </c>
      <c r="E36" s="18" t="str">
        <f aca="false">IF(E27="","",IF(ISNUMBER(E27),IF(E27&gt;=655,"PASS","FAIL"),"non-numeric"))</f>
        <v/>
      </c>
      <c r="F36" s="18" t="str">
        <f aca="false">IF(F27="","",IF(ISNUMBER(F27),IF(F27&gt;=655,"PASS","FAIL"),"non-numeric"))</f>
        <v/>
      </c>
      <c r="G36" s="18" t="str">
        <f aca="false">IF(G27="","",IF(ISNUMBER(G27),IF(G27&gt;=655,"PASS","FAIL"),"non-numeric"))</f>
        <v/>
      </c>
    </row>
    <row r="37" customFormat="false" ht="15" hidden="false" customHeight="false" outlineLevel="0" collapsed="false">
      <c r="A37" s="18" t="s">
        <v>130</v>
      </c>
      <c r="C37" s="19" t="s">
        <v>131</v>
      </c>
      <c r="D37" s="18" t="str">
        <f aca="false">IF(D32="","",IF(ISNUMBER(D32),IF(D32&gt;=170,"PASS","FAIL"),"non-numeric"))</f>
        <v>PASS</v>
      </c>
      <c r="E37" s="18" t="str">
        <f aca="false">IF(E32="","",IF(ISNUMBER(E32),IF(E32&gt;=170,"PASS","FAIL"),"non-numeric"))</f>
        <v/>
      </c>
      <c r="F37" s="18" t="str">
        <f aca="false">IF(F32="","",IF(ISNUMBER(F32),IF(F32&gt;=170,"PASS","FAIL"),"non-numeric"))</f>
        <v/>
      </c>
      <c r="G37" s="18" t="str">
        <f aca="false">IF(G32="","",IF(ISNUMBER(G32),IF(G32&gt;=170,"PASS","FAIL"),"non-numeric"))</f>
        <v/>
      </c>
    </row>
    <row r="38" customFormat="false" ht="15" hidden="false" customHeight="false" outlineLevel="0" collapsed="false">
      <c r="A38" s="20" t="s">
        <v>102</v>
      </c>
      <c r="D38" s="20" t="str">
        <f aca="false">COUNTIF(D35:D37,"PASS")&amp;" / "&amp;COUNTA(D35:D37)-COUNTBLANK(D35:D37)</f>
        <v>3 / 3</v>
      </c>
      <c r="E38" s="20" t="str">
        <f aca="false">COUNTIF(E35:E37,"PASS")&amp;" / "&amp;COUNTA(E35:E37)-COUNTBLANK(E35:E37)</f>
        <v>0 / 0</v>
      </c>
      <c r="F38" s="20" t="str">
        <f aca="false">COUNTIF(F35:F37,"PASS")&amp;" / "&amp;COUNTA(F35:F37)-COUNTBLANK(F35:F37)</f>
        <v>0 / 0</v>
      </c>
      <c r="G38" s="20" t="str">
        <f aca="false">COUNTIF(G35:G37,"PASS")&amp;" / "&amp;COUNTA(G35:G37)-COUNTBLANK(G35:G37)</f>
        <v>0 / 0</v>
      </c>
    </row>
  </sheetData>
  <dataValidations count="2">
    <dataValidation allowBlank="true" errorStyle="stop" operator="between" showDropDown="false" showErrorMessage="false" showInputMessage="false" sqref="D8:G8" type="list">
      <formula1>"FORMAL QUOTE,ADVERTISED PRICE,AUCTION START PRICE,TRANSACTION PRICE,SELLER CLAIM,ESTIMATE,UNKNOWN"</formula1>
      <formula2>0</formula2>
    </dataValidation>
    <dataValidation allowBlank="true" errorStyle="stop" operator="between" showDropDown="false" showErrorMessage="false" showInputMessage="false" sqref="D5:G5 D15:G15" type="list">
      <formula1>"Yes,No,Unknown"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4"/>
  </cols>
  <sheetData>
    <row r="1" customFormat="false" ht="15" hidden="false" customHeight="false" outlineLevel="0" collapsed="false">
      <c r="A1" s="1" t="s">
        <v>179</v>
      </c>
    </row>
    <row r="3" customFormat="false" ht="15" hidden="false" customHeight="false" outlineLevel="0" collapsed="false">
      <c r="A3" s="20" t="s">
        <v>180</v>
      </c>
    </row>
    <row r="5" customFormat="false" ht="15" hidden="false" customHeight="false" outlineLevel="0" collapsed="false">
      <c r="B5" s="21" t="s">
        <v>42</v>
      </c>
      <c r="C5" s="21" t="s">
        <v>181</v>
      </c>
      <c r="D5" s="21" t="s">
        <v>182</v>
      </c>
    </row>
    <row r="6" customFormat="false" ht="15" hidden="false" customHeight="false" outlineLevel="0" collapsed="false">
      <c r="B6" s="22" t="s">
        <v>48</v>
      </c>
      <c r="C6" s="23" t="n">
        <v>1</v>
      </c>
      <c r="D6" s="24" t="s">
        <v>183</v>
      </c>
    </row>
    <row r="7" customFormat="false" ht="15" hidden="false" customHeight="false" outlineLevel="0" collapsed="false">
      <c r="B7" s="22" t="s">
        <v>44</v>
      </c>
      <c r="C7" s="23"/>
      <c r="D7" s="24"/>
    </row>
    <row r="8" customFormat="false" ht="15" hidden="false" customHeight="false" outlineLevel="0" collapsed="false">
      <c r="B8" s="22" t="s">
        <v>184</v>
      </c>
      <c r="C8" s="23"/>
      <c r="D8" s="24"/>
    </row>
    <row r="9" customFormat="false" ht="15" hidden="false" customHeight="false" outlineLevel="0" collapsed="false">
      <c r="B9" s="22" t="s">
        <v>185</v>
      </c>
      <c r="C9" s="23"/>
      <c r="D9" s="24"/>
    </row>
    <row r="10" customFormat="false" ht="15" hidden="false" customHeight="false" outlineLevel="0" collapsed="false">
      <c r="B10" s="22" t="s">
        <v>186</v>
      </c>
      <c r="C10" s="23"/>
      <c r="D10" s="24"/>
    </row>
    <row r="11" customFormat="false" ht="15" hidden="false" customHeight="false" outlineLevel="0" collapsed="false">
      <c r="B11" s="22" t="s">
        <v>187</v>
      </c>
      <c r="C11" s="23"/>
      <c r="D11" s="24"/>
    </row>
    <row r="12" customFormat="false" ht="15" hidden="false" customHeight="false" outlineLevel="0" collapsed="false">
      <c r="B12" s="22" t="s">
        <v>188</v>
      </c>
      <c r="C12" s="23"/>
      <c r="D12" s="24"/>
    </row>
    <row r="15" customFormat="false" ht="15" hidden="false" customHeight="false" outlineLevel="0" collapsed="false">
      <c r="A15" s="21" t="s">
        <v>189</v>
      </c>
      <c r="B15" s="21" t="s">
        <v>17</v>
      </c>
      <c r="C15" s="21" t="s">
        <v>18</v>
      </c>
      <c r="D15" s="21" t="s">
        <v>19</v>
      </c>
      <c r="E15" s="21" t="s">
        <v>20</v>
      </c>
    </row>
    <row r="16" customFormat="false" ht="15" hidden="false" customHeight="false" outlineLevel="0" collapsed="false">
      <c r="A16" s="22" t="s">
        <v>190</v>
      </c>
      <c r="B16" s="25" t="str">
        <f aca="false">Furnace!D17</f>
        <v/>
      </c>
      <c r="C16" s="25" t="str">
        <f aca="false">Furnace!E17</f>
        <v/>
      </c>
      <c r="D16" s="25" t="str">
        <f aca="false">Furnace!F17</f>
        <v/>
      </c>
      <c r="E16" s="25" t="str">
        <f aca="false">Furnace!G17</f>
        <v/>
      </c>
    </row>
    <row r="17" customFormat="false" ht="15" hidden="false" customHeight="false" outlineLevel="0" collapsed="false">
      <c r="A17" s="22" t="s">
        <v>191</v>
      </c>
      <c r="B17" s="26" t="str">
        <f aca="false">Furnace!D18</f>
        <v>NO — not budget-grade</v>
      </c>
      <c r="C17" s="26" t="str">
        <f aca="false">Furnace!E18</f>
        <v/>
      </c>
      <c r="D17" s="26" t="str">
        <f aca="false">Furnace!F18</f>
        <v/>
      </c>
      <c r="E17" s="26" t="str">
        <f aca="false">Furnace!G18</f>
        <v/>
      </c>
    </row>
    <row r="18" customFormat="false" ht="15" hidden="false" customHeight="false" outlineLevel="0" collapsed="false">
      <c r="A18" s="22" t="s">
        <v>192</v>
      </c>
      <c r="B18" s="26" t="str">
        <f aca="false">Furnace!D37</f>
        <v>2 / 2</v>
      </c>
      <c r="C18" s="26" t="str">
        <f aca="false">Furnace!E37</f>
        <v>0 / 0</v>
      </c>
      <c r="D18" s="26" t="str">
        <f aca="false">Furnace!F37</f>
        <v>0 / 0</v>
      </c>
      <c r="E18" s="26" t="str">
        <f aca="false">Furnace!G37</f>
        <v>0 / 0</v>
      </c>
    </row>
    <row r="20" customFormat="false" ht="15" hidden="false" customHeight="false" outlineLevel="0" collapsed="false">
      <c r="A20" s="22" t="s">
        <v>193</v>
      </c>
      <c r="B20" s="25" t="str">
        <f aca="false">'DC Motor'!D17</f>
        <v/>
      </c>
      <c r="C20" s="25" t="str">
        <f aca="false">'DC Motor'!E17</f>
        <v/>
      </c>
      <c r="D20" s="25" t="str">
        <f aca="false">'DC Motor'!F17</f>
        <v/>
      </c>
      <c r="E20" s="25" t="str">
        <f aca="false">'DC Motor'!G17</f>
        <v/>
      </c>
    </row>
    <row r="21" customFormat="false" ht="15" hidden="false" customHeight="false" outlineLevel="0" collapsed="false">
      <c r="A21" s="22" t="s">
        <v>194</v>
      </c>
      <c r="B21" s="26" t="str">
        <f aca="false">'DC Motor'!D18</f>
        <v>NO — not budget-grade</v>
      </c>
      <c r="C21" s="26" t="str">
        <f aca="false">'DC Motor'!E18</f>
        <v/>
      </c>
      <c r="D21" s="26" t="str">
        <f aca="false">'DC Motor'!F18</f>
        <v/>
      </c>
      <c r="E21" s="26" t="str">
        <f aca="false">'DC Motor'!G18</f>
        <v/>
      </c>
    </row>
    <row r="22" customFormat="false" ht="15" hidden="false" customHeight="false" outlineLevel="0" collapsed="false">
      <c r="A22" s="22" t="s">
        <v>195</v>
      </c>
      <c r="B22" s="26" t="str">
        <f aca="false">'DC Motor'!D37</f>
        <v>2 / 2</v>
      </c>
      <c r="C22" s="26" t="str">
        <f aca="false">'DC Motor'!E37</f>
        <v>0 / 0</v>
      </c>
      <c r="D22" s="26" t="str">
        <f aca="false">'DC Motor'!F37</f>
        <v>0 / 0</v>
      </c>
      <c r="E22" s="26" t="str">
        <f aca="false">'DC Motor'!G37</f>
        <v>0 / 0</v>
      </c>
    </row>
    <row r="24" customFormat="false" ht="15" hidden="false" customHeight="false" outlineLevel="0" collapsed="false">
      <c r="A24" s="22" t="s">
        <v>196</v>
      </c>
      <c r="B24" s="25" t="str">
        <f aca="false">Stand!D17</f>
        <v/>
      </c>
      <c r="C24" s="25" t="str">
        <f aca="false">Stand!E17</f>
        <v/>
      </c>
      <c r="D24" s="25" t="str">
        <f aca="false">Stand!F17</f>
        <v/>
      </c>
      <c r="E24" s="25" t="str">
        <f aca="false">Stand!G17</f>
        <v/>
      </c>
    </row>
    <row r="25" customFormat="false" ht="15" hidden="false" customHeight="false" outlineLevel="0" collapsed="false">
      <c r="A25" s="22" t="s">
        <v>197</v>
      </c>
      <c r="B25" s="26" t="str">
        <f aca="false">Stand!D18</f>
        <v>NO — not budget-grade</v>
      </c>
      <c r="C25" s="26" t="str">
        <f aca="false">Stand!E18</f>
        <v/>
      </c>
      <c r="D25" s="26" t="str">
        <f aca="false">Stand!F18</f>
        <v/>
      </c>
      <c r="E25" s="26" t="str">
        <f aca="false">Stand!G18</f>
        <v/>
      </c>
    </row>
    <row r="26" customFormat="false" ht="15" hidden="false" customHeight="false" outlineLevel="0" collapsed="false">
      <c r="A26" s="22" t="s">
        <v>198</v>
      </c>
      <c r="B26" s="26" t="str">
        <f aca="false">Stand!D37</f>
        <v>2 / 2</v>
      </c>
      <c r="C26" s="26" t="str">
        <f aca="false">Stand!E37</f>
        <v>0 / 0</v>
      </c>
      <c r="D26" s="26" t="str">
        <f aca="false">Stand!F37</f>
        <v>0 / 0</v>
      </c>
      <c r="E26" s="26" t="str">
        <f aca="false">Stand!G37</f>
        <v>0 / 0</v>
      </c>
    </row>
    <row r="28" customFormat="false" ht="15" hidden="false" customHeight="false" outlineLevel="0" collapsed="false">
      <c r="A28" s="22" t="s">
        <v>199</v>
      </c>
      <c r="B28" s="25" t="str">
        <f aca="false">Gearbox!D17</f>
        <v/>
      </c>
      <c r="C28" s="25" t="str">
        <f aca="false">Gearbox!E17</f>
        <v/>
      </c>
      <c r="D28" s="25" t="str">
        <f aca="false">Gearbox!F17</f>
        <v/>
      </c>
      <c r="E28" s="25" t="str">
        <f aca="false">Gearbox!G17</f>
        <v/>
      </c>
    </row>
    <row r="29" customFormat="false" ht="15" hidden="false" customHeight="false" outlineLevel="0" collapsed="false">
      <c r="A29" s="22" t="s">
        <v>200</v>
      </c>
      <c r="B29" s="26" t="str">
        <f aca="false">Gearbox!D18</f>
        <v>NO — not budget-grade</v>
      </c>
      <c r="C29" s="26" t="str">
        <f aca="false">Gearbox!E18</f>
        <v/>
      </c>
      <c r="D29" s="26" t="str">
        <f aca="false">Gearbox!F18</f>
        <v/>
      </c>
      <c r="E29" s="26" t="str">
        <f aca="false">Gearbox!G18</f>
        <v/>
      </c>
    </row>
    <row r="30" customFormat="false" ht="15" hidden="false" customHeight="false" outlineLevel="0" collapsed="false">
      <c r="A30" s="22" t="s">
        <v>201</v>
      </c>
      <c r="B30" s="26" t="str">
        <f aca="false">Gearbox!D38</f>
        <v>3 / 3</v>
      </c>
      <c r="C30" s="26" t="str">
        <f aca="false">Gearbox!E38</f>
        <v>0 / 0</v>
      </c>
      <c r="D30" s="26" t="str">
        <f aca="false">Gearbox!F38</f>
        <v>0 / 0</v>
      </c>
      <c r="E30" s="26" t="str">
        <f aca="false">Gearbox!G38</f>
        <v>0 / 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2026-09-23T07:13:06Z</dcterms:created>
  <dc:creator>openpyxl</dc:creator>
  <dc:description/>
  <dc:language>en-US</dc:language>
  <cp:lastModifiedBy/>
  <dcterms:modified xsi:type="dcterms:W3CDTF">2026-09-23T07:13:06Z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